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x Node BOM" sheetId="2" state="visible" r:id="rId4"/>
    <sheet name="Tx Node BOM" sheetId="3" state="visible" r:id="rId5"/>
    <sheet name="Volume Pricing" sheetId="4" state="visible" r:id="rId6"/>
    <sheet name="Risk Assessment" sheetId="5" state="visible" r:id="rId7"/>
    <sheet name="Suppli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<sst xmlns="http://schemas.openxmlformats.org/spreadsheetml/2006/main" count="701" uniqueCount="458">
  <si>
    <t xml:space="preserve">QEDMMA BOM &amp; Cost Analysis v1.3</t>
  </si>
  <si>
    <t xml:space="preserve">Quantum-Enhanced Distributed Metamaterial Multistatic Array</t>
  </si>
  <si>
    <t xml:space="preserve">Generated: 31-Jan-2026 | Radar Systems Architect v9.0 Forge</t>
  </si>
  <si>
    <t xml:space="preserve">Subsystem</t>
  </si>
  <si>
    <t xml:space="preserve">Qty</t>
  </si>
  <si>
    <t xml:space="preserve">Unit Cost</t>
  </si>
  <si>
    <t xml:space="preserve">Total (€)</t>
  </si>
  <si>
    <t xml:space="preserve">Serial (€)</t>
  </si>
  <si>
    <t xml:space="preserve">Margin</t>
  </si>
  <si>
    <t xml:space="preserve">Notes</t>
  </si>
  <si>
    <t xml:space="preserve">Rx Node (Quantum Receiver)</t>
  </si>
  <si>
    <t xml:space="preserve">Rydberg sensor + FPGA + timing</t>
  </si>
  <si>
    <t xml:space="preserve">Tx Node (Illuminator)</t>
  </si>
  <si>
    <t xml:space="preserve">GaN PA + waveform generator</t>
  </si>
  <si>
    <t xml:space="preserve">C2 Fusion Center</t>
  </si>
  <si>
    <t xml:space="preserve">GPU servers + software</t>
  </si>
  <si>
    <t xml:space="preserve">Infrastructure &amp; Cabling</t>
  </si>
  <si>
    <t xml:space="preserve">White Rabbit network, power</t>
  </si>
  <si>
    <t xml:space="preserve">Integration &amp; Test</t>
  </si>
  <si>
    <t xml:space="preserve">System integration, calibration</t>
  </si>
  <si>
    <t xml:space="preserve">Contingency (15%)</t>
  </si>
  <si>
    <t xml:space="preserve">Risk buffer</t>
  </si>
  <si>
    <t xml:space="preserve">TOTAL MVP COST</t>
  </si>
  <si>
    <t xml:space="preserve">4×Rx + 1×Tx + C2</t>
  </si>
  <si>
    <t xml:space="preserve">KEY METRICS</t>
  </si>
  <si>
    <t xml:space="preserve">Metric</t>
  </si>
  <si>
    <t xml:space="preserve">Value</t>
  </si>
  <si>
    <t xml:space="preserve">Target</t>
  </si>
  <si>
    <t xml:space="preserve">Status</t>
  </si>
  <si>
    <t xml:space="preserve">Prototype Cost per Rx Node</t>
  </si>
  <si>
    <t xml:space="preserve">€165,000</t>
  </si>
  <si>
    <t xml:space="preserve">€150,000</t>
  </si>
  <si>
    <t xml:space="preserve">YELLOW</t>
  </si>
  <si>
    <t xml:space="preserve">Serial Cost per Rx Node (100+)</t>
  </si>
  <si>
    <t xml:space="preserve">€52,000</t>
  </si>
  <si>
    <t xml:space="preserve">€50,000</t>
  </si>
  <si>
    <t xml:space="preserve">GREEN</t>
  </si>
  <si>
    <t xml:space="preserve">MVP Total Budget</t>
  </si>
  <si>
    <t xml:space="preserve">€750,000</t>
  </si>
  <si>
    <t xml:space="preserve">BOM Confidence Level</t>
  </si>
  <si>
    <t xml:space="preserve">±12%</t>
  </si>
  <si>
    <t xml:space="preserve">±10%</t>
  </si>
  <si>
    <t xml:space="preserve">Critical Path Lead Time</t>
  </si>
  <si>
    <t xml:space="preserve">16-24 weeks</t>
  </si>
  <si>
    <t xml:space="preserve">&lt;12 weeks</t>
  </si>
  <si>
    <t xml:space="preserve">RED</t>
  </si>
  <si>
    <t xml:space="preserve">TRL Assessment</t>
  </si>
  <si>
    <t xml:space="preserve">TRL 3-4</t>
  </si>
  <si>
    <t xml:space="preserve">TRL 5+</t>
  </si>
  <si>
    <t xml:space="preserve">QEDMMA Rx Node - Detailed Bill of Materials v1.3</t>
  </si>
  <si>
    <t xml:space="preserve">Category</t>
  </si>
  <si>
    <t xml:space="preserve">Part Number</t>
  </si>
  <si>
    <t xml:space="preserve">Description</t>
  </si>
  <si>
    <t xml:space="preserve">Manufacturer</t>
  </si>
  <si>
    <t xml:space="preserve">Unit (€)</t>
  </si>
  <si>
    <t xml:space="preserve">Extended (€)</t>
  </si>
  <si>
    <t xml:space="preserve">Lead Time</t>
  </si>
  <si>
    <t xml:space="preserve">EOL Risk</t>
  </si>
  <si>
    <t xml:space="preserve">Alternative</t>
  </si>
  <si>
    <t xml:space="preserve">RYDBERG SENSOR SUBSYSTEM</t>
  </si>
  <si>
    <t xml:space="preserve">DL-PRO-780</t>
  </si>
  <si>
    <t xml:space="preserve">780nm ECDL Probe Laser</t>
  </si>
  <si>
    <t xml:space="preserve">Toptica Photonics</t>
  </si>
  <si>
    <t xml:space="preserve">12-16 wks</t>
  </si>
  <si>
    <t xml:space="preserve">LOW</t>
  </si>
  <si>
    <t xml:space="preserve">Moglabs CEL002</t>
  </si>
  <si>
    <t xml:space="preserve">EIT probe, linewidth &lt;100kHz</t>
  </si>
  <si>
    <t xml:space="preserve">OBIS-480-100</t>
  </si>
  <si>
    <t xml:space="preserve">480nm Coupling Laser 100mW</t>
  </si>
  <si>
    <t xml:space="preserve">Coherent</t>
  </si>
  <si>
    <t xml:space="preserve">8-12 wks</t>
  </si>
  <si>
    <t xml:space="preserve">Toptica DL100</t>
  </si>
  <si>
    <t xml:space="preserve">Rydberg excitation</t>
  </si>
  <si>
    <t xml:space="preserve">QED-VC-85</t>
  </si>
  <si>
    <t xml:space="preserve">Rb-85 Vapor Cell (custom)</t>
  </si>
  <si>
    <t xml:space="preserve">Precision Glassblowing</t>
  </si>
  <si>
    <t xml:space="preserve">8-10 wks</t>
  </si>
  <si>
    <t xml:space="preserve">MED</t>
  </si>
  <si>
    <t xml:space="preserve">Thorlabs GC25075-RB</t>
  </si>
  <si>
    <t xml:space="preserve">25mm path, AR coated windows</t>
  </si>
  <si>
    <t xml:space="preserve">EIT-OPT-KIT</t>
  </si>
  <si>
    <t xml:space="preserve">EIT Optics Assembly</t>
  </si>
  <si>
    <t xml:space="preserve">Thorlabs + Custom</t>
  </si>
  <si>
    <t xml:space="preserve">4-6 wks</t>
  </si>
  <si>
    <t xml:space="preserve">-</t>
  </si>
  <si>
    <t xml:space="preserve">PBS, λ/2, λ/4, mounts</t>
  </si>
  <si>
    <t xml:space="preserve">APD430A2</t>
  </si>
  <si>
    <t xml:space="preserve">Si APD Photodetector</t>
  </si>
  <si>
    <t xml:space="preserve">Thorlabs</t>
  </si>
  <si>
    <t xml:space="preserve">2-4 wks</t>
  </si>
  <si>
    <t xml:space="preserve">Hamamatsu C12702</t>
  </si>
  <si>
    <t xml:space="preserve">Balanced detection</t>
  </si>
  <si>
    <t xml:space="preserve">TEC-CTRL-01</t>
  </si>
  <si>
    <t xml:space="preserve">TEC Controller</t>
  </si>
  <si>
    <t xml:space="preserve">Wavelength Electronics</t>
  </si>
  <si>
    <t xml:space="preserve">Thorlabs TED200C</t>
  </si>
  <si>
    <t xml:space="preserve">Cell temp stabilization</t>
  </si>
  <si>
    <t xml:space="preserve">QED-LCK-01</t>
  </si>
  <si>
    <t xml:space="preserve">Laser Lock Electronics</t>
  </si>
  <si>
    <t xml:space="preserve">Custom PCB</t>
  </si>
  <si>
    <t xml:space="preserve">6-8 wks</t>
  </si>
  <si>
    <t xml:space="preserve">PDH lock + modulation</t>
  </si>
  <si>
    <t xml:space="preserve">METAMATERIAL ANTENNA</t>
  </si>
  <si>
    <t xml:space="preserve">QED-MMA-1M</t>
  </si>
  <si>
    <t xml:space="preserve">1m×1m Metamaterial Array</t>
  </si>
  <si>
    <t xml:space="preserve">Custom/Metamagnetics</t>
  </si>
  <si>
    <t xml:space="preserve">HIGH</t>
  </si>
  <si>
    <t xml:space="preserve">Fractal FA-VHF</t>
  </si>
  <si>
    <t xml:space="preserve">VHF optimized, 10dBi equiv</t>
  </si>
  <si>
    <t xml:space="preserve">ZKL-1R5+</t>
  </si>
  <si>
    <t xml:space="preserve">VHF Low Noise Amplifier</t>
  </si>
  <si>
    <t xml:space="preserve">Mini-Circuits</t>
  </si>
  <si>
    <t xml:space="preserve">2-3 wks</t>
  </si>
  <si>
    <t xml:space="preserve">Qorvo QPL9503</t>
  </si>
  <si>
    <t xml:space="preserve">NF&lt;1.5dB, Gain 20dB</t>
  </si>
  <si>
    <t xml:space="preserve">VBFZ-150+</t>
  </si>
  <si>
    <t xml:space="preserve">Bandpass Filter 100-200MHz</t>
  </si>
  <si>
    <t xml:space="preserve">K&amp;L custom</t>
  </si>
  <si>
    <t xml:space="preserve">Interference rejection</t>
  </si>
  <si>
    <t xml:space="preserve">ZFBT-6GW+</t>
  </si>
  <si>
    <t xml:space="preserve">Bias Tee</t>
  </si>
  <si>
    <t xml:space="preserve">1-2 wks</t>
  </si>
  <si>
    <t xml:space="preserve">LNA power injection</t>
  </si>
  <si>
    <t xml:space="preserve">FPGA &amp; SIGNAL PROCESSING</t>
  </si>
  <si>
    <t xml:space="preserve">XCZU47DR-2FFVG1517E</t>
  </si>
  <si>
    <t xml:space="preserve">Zynq RFSoC (ZU47DR)</t>
  </si>
  <si>
    <t xml:space="preserve">AMD/Xilinx</t>
  </si>
  <si>
    <t xml:space="preserve">16-24 wks</t>
  </si>
  <si>
    <t xml:space="preserve">XCZU39DR</t>
  </si>
  <si>
    <t xml:space="preserve">CRITICAL - order early</t>
  </si>
  <si>
    <t xml:space="preserve">ZCU216-EVAL</t>
  </si>
  <si>
    <t xml:space="preserve">RFSoC Eval Board</t>
  </si>
  <si>
    <t xml:space="preserve">4-8 wks</t>
  </si>
  <si>
    <t xml:space="preserve">HTG-ZRF16</t>
  </si>
  <si>
    <t xml:space="preserve">For rapid prototyping</t>
  </si>
  <si>
    <t xml:space="preserve">MTA18ASF2G72HZ</t>
  </si>
  <si>
    <t xml:space="preserve">16GB DDR4 ECC SODIMM</t>
  </si>
  <si>
    <t xml:space="preserve">Micron</t>
  </si>
  <si>
    <t xml:space="preserve">Samsung M474A2K43</t>
  </si>
  <si>
    <t xml:space="preserve">Frame buffer</t>
  </si>
  <si>
    <t xml:space="preserve">990-PRO-2TB</t>
  </si>
  <si>
    <t xml:space="preserve">2TB NVMe SSD</t>
  </si>
  <si>
    <t xml:space="preserve">Samsung</t>
  </si>
  <si>
    <t xml:space="preserve">WD SN850X</t>
  </si>
  <si>
    <t xml:space="preserve">Raw data logging</t>
  </si>
  <si>
    <t xml:space="preserve">EDGE AI PROCESSING</t>
  </si>
  <si>
    <t xml:space="preserve">ORIN-AGX-64</t>
  </si>
  <si>
    <t xml:space="preserve">Jetson Orin AGX 64GB</t>
  </si>
  <si>
    <t xml:space="preserve">NVIDIA</t>
  </si>
  <si>
    <t xml:space="preserve">Orin NX 16GB</t>
  </si>
  <si>
    <t xml:space="preserve">AI inference, tracking</t>
  </si>
  <si>
    <t xml:space="preserve">FORGE-CARRIER</t>
  </si>
  <si>
    <t xml:space="preserve">Orin Carrier (rugged)</t>
  </si>
  <si>
    <t xml:space="preserve">Connect Tech</t>
  </si>
  <si>
    <t xml:space="preserve">Seeed reComputer</t>
  </si>
  <si>
    <t xml:space="preserve">MIL-temp rated</t>
  </si>
  <si>
    <t xml:space="preserve">TIMING SUBSYSTEM</t>
  </si>
  <si>
    <t xml:space="preserve">SA.45s</t>
  </si>
  <si>
    <t xml:space="preserve">CSAC Atomic Clock</t>
  </si>
  <si>
    <t xml:space="preserve">Microchip</t>
  </si>
  <si>
    <t xml:space="preserve">OSA 3235B</t>
  </si>
  <si>
    <t xml:space="preserve">Holdover: 3×10⁻¹⁰/day</t>
  </si>
  <si>
    <t xml:space="preserve">WR-LEN</t>
  </si>
  <si>
    <t xml:space="preserve">White Rabbit LEN (slave)</t>
  </si>
  <si>
    <t xml:space="preserve">Seven Solutions</t>
  </si>
  <si>
    <t xml:space="preserve">CERN WR-Lite</t>
  </si>
  <si>
    <t xml:space="preserve">Sub-ns network sync</t>
  </si>
  <si>
    <t xml:space="preserve">SFP-1G-WR</t>
  </si>
  <si>
    <t xml:space="preserve">WR SFP Transceiver</t>
  </si>
  <si>
    <t xml:space="preserve">Fiber link</t>
  </si>
  <si>
    <t xml:space="preserve">Resolution-T</t>
  </si>
  <si>
    <t xml:space="preserve">GPS Disciplined Reference</t>
  </si>
  <si>
    <t xml:space="preserve">Trimble</t>
  </si>
  <si>
    <t xml:space="preserve">u-blox ZED-F9T</t>
  </si>
  <si>
    <t xml:space="preserve">Backup timing</t>
  </si>
  <si>
    <t xml:space="preserve">POWER &amp; ENCLOSURE</t>
  </si>
  <si>
    <t xml:space="preserve">MIL-COTS-1500</t>
  </si>
  <si>
    <t xml:space="preserve">1500W MIL-Spec PSU</t>
  </si>
  <si>
    <t xml:space="preserve">Vicor</t>
  </si>
  <si>
    <t xml:space="preserve">Mean Well RSP-1600</t>
  </si>
  <si>
    <t xml:space="preserve">MIL-STD-461 EMI</t>
  </si>
  <si>
    <t xml:space="preserve">SMT3000RMI2U</t>
  </si>
  <si>
    <t xml:space="preserve">Rack UPS 3kVA</t>
  </si>
  <si>
    <t xml:space="preserve">APC</t>
  </si>
  <si>
    <t xml:space="preserve">Eaton 5PX3000</t>
  </si>
  <si>
    <t xml:space="preserve">15min holdover</t>
  </si>
  <si>
    <t xml:space="preserve">PX3-1234R</t>
  </si>
  <si>
    <t xml:space="preserve">Smart PDU</t>
  </si>
  <si>
    <t xml:space="preserve">Raritan</t>
  </si>
  <si>
    <t xml:space="preserve">APC AP8681</t>
  </si>
  <si>
    <t xml:space="preserve">Remote monitoring</t>
  </si>
  <si>
    <t xml:space="preserve">BB0040-4U</t>
  </si>
  <si>
    <t xml:space="preserve">4U Rugged Transit Case</t>
  </si>
  <si>
    <t xml:space="preserve">Pelican-Hardigg</t>
  </si>
  <si>
    <t xml:space="preserve">SKB 3RR-4U24</t>
  </si>
  <si>
    <t xml:space="preserve">MIL-STD-810H, IP67</t>
  </si>
  <si>
    <t xml:space="preserve">THERMAL-KIT</t>
  </si>
  <si>
    <t xml:space="preserve">Thermal Management</t>
  </si>
  <si>
    <t xml:space="preserve">Custom</t>
  </si>
  <si>
    <t xml:space="preserve">Heat exchanger, fans</t>
  </si>
  <si>
    <t xml:space="preserve">MIL-CONN-KIT</t>
  </si>
  <si>
    <t xml:space="preserve">MIL-Spec Connectors</t>
  </si>
  <si>
    <t xml:space="preserve">Amphenol</t>
  </si>
  <si>
    <t xml:space="preserve">TE Connectivity</t>
  </si>
  <si>
    <t xml:space="preserve">D38999, SMA, fiber</t>
  </si>
  <si>
    <t xml:space="preserve">INTEGRATION &amp; CALIBRATION</t>
  </si>
  <si>
    <t xml:space="preserve">INT-HARNESS</t>
  </si>
  <si>
    <t xml:space="preserve">Internal Wiring Harness</t>
  </si>
  <si>
    <t xml:space="preserve">Shielded, labeled</t>
  </si>
  <si>
    <t xml:space="preserve">INT-MECH</t>
  </si>
  <si>
    <t xml:space="preserve">Mechanical Assembly</t>
  </si>
  <si>
    <t xml:space="preserve">Rails, vibration mounts</t>
  </si>
  <si>
    <t xml:space="preserve">INT-CALIB</t>
  </si>
  <si>
    <t xml:space="preserve">Factory Calibration</t>
  </si>
  <si>
    <t xml:space="preserve">In-house</t>
  </si>
  <si>
    <t xml:space="preserve">Full system test</t>
  </si>
  <si>
    <t xml:space="preserve">TOTAL Rx NODE</t>
  </si>
  <si>
    <t xml:space="preserve">Contingency (4%)</t>
  </si>
  <si>
    <t xml:space="preserve">GRAND TOTAL</t>
  </si>
  <si>
    <t xml:space="preserve">QEDMMA Tx Node (Illuminator) - Bill of Materials</t>
  </si>
  <si>
    <t xml:space="preserve">RF TRANSMITTER</t>
  </si>
  <si>
    <t xml:space="preserve">GaN-PA-10KW</t>
  </si>
  <si>
    <t xml:space="preserve">GaN Solid-State PA 10kW</t>
  </si>
  <si>
    <t xml:space="preserve">MACOM</t>
  </si>
  <si>
    <t xml:space="preserve">16-20 wks</t>
  </si>
  <si>
    <t xml:space="preserve">Ampleon BLF578</t>
  </si>
  <si>
    <t xml:space="preserve">VHF band, pulsed</t>
  </si>
  <si>
    <t xml:space="preserve">ZHL-100W-GAN+</t>
  </si>
  <si>
    <t xml:space="preserve">Driver Amplifier 100W</t>
  </si>
  <si>
    <t xml:space="preserve">Pre-driver stage</t>
  </si>
  <si>
    <t xml:space="preserve">LPF-200</t>
  </si>
  <si>
    <t xml:space="preserve">Output LPF 200MHz</t>
  </si>
  <si>
    <t xml:space="preserve">K&amp;L Microwave</t>
  </si>
  <si>
    <t xml:space="preserve">Harmonic suppression</t>
  </si>
  <si>
    <t xml:space="preserve">CIRC-VHF-10K</t>
  </si>
  <si>
    <t xml:space="preserve">VHF Circulator 10kW</t>
  </si>
  <si>
    <t xml:space="preserve">DiTom</t>
  </si>
  <si>
    <t xml:space="preserve">PA protection</t>
  </si>
  <si>
    <t xml:space="preserve">DL-10KW</t>
  </si>
  <si>
    <t xml:space="preserve">10kW Dummy Load</t>
  </si>
  <si>
    <t xml:space="preserve">Bird Technologies</t>
  </si>
  <si>
    <t xml:space="preserve">Testing</t>
  </si>
  <si>
    <t xml:space="preserve">WAVEFORM GENERATOR</t>
  </si>
  <si>
    <t xml:space="preserve">AD9361</t>
  </si>
  <si>
    <t xml:space="preserve">RF Transceiver</t>
  </si>
  <si>
    <t xml:space="preserve">Analog Devices</t>
  </si>
  <si>
    <t xml:space="preserve">AD9364</t>
  </si>
  <si>
    <t xml:space="preserve">Baseband</t>
  </si>
  <si>
    <t xml:space="preserve">FMCOMMS5</t>
  </si>
  <si>
    <t xml:space="preserve">AD9361 Platform</t>
  </si>
  <si>
    <t xml:space="preserve">Dev board</t>
  </si>
  <si>
    <t xml:space="preserve">ZC706</t>
  </si>
  <si>
    <t xml:space="preserve">Zynq Dev Board</t>
  </si>
  <si>
    <t xml:space="preserve">ZedBoard</t>
  </si>
  <si>
    <t xml:space="preserve">Waveform gen</t>
  </si>
  <si>
    <t xml:space="preserve">DAC34SH84</t>
  </si>
  <si>
    <t xml:space="preserve">Quad 16-bit DAC</t>
  </si>
  <si>
    <t xml:space="preserve">TI</t>
  </si>
  <si>
    <t xml:space="preserve">AD9154</t>
  </si>
  <si>
    <t xml:space="preserve">High-speed</t>
  </si>
  <si>
    <t xml:space="preserve">ANTENNA &amp; FEED</t>
  </si>
  <si>
    <t xml:space="preserve">USLP-9143</t>
  </si>
  <si>
    <t xml:space="preserve">Log-Periodic Array</t>
  </si>
  <si>
    <t xml:space="preserve">Schwarzbeck</t>
  </si>
  <si>
    <t xml:space="preserve">ETS-Lindgren</t>
  </si>
  <si>
    <t xml:space="preserve">10dBi</t>
  </si>
  <si>
    <t xml:space="preserve">G-2800DXA</t>
  </si>
  <si>
    <t xml:space="preserve">Azimuth Rotator</t>
  </si>
  <si>
    <t xml:space="preserve">Yaesu</t>
  </si>
  <si>
    <t xml:space="preserve">Kenpro</t>
  </si>
  <si>
    <t xml:space="preserve">Remote</t>
  </si>
  <si>
    <t xml:space="preserve">Night-Scan-40</t>
  </si>
  <si>
    <t xml:space="preserve">Pneumatic Mast 12m</t>
  </si>
  <si>
    <t xml:space="preserve">Will-Burt</t>
  </si>
  <si>
    <t xml:space="preserve">Clark QMAC</t>
  </si>
  <si>
    <t xml:space="preserve">Rapid deploy</t>
  </si>
  <si>
    <t xml:space="preserve">LDF5-50A</t>
  </si>
  <si>
    <t xml:space="preserve">7/8" Low-Loss Coax</t>
  </si>
  <si>
    <t xml:space="preserve">Andrew</t>
  </si>
  <si>
    <t xml:space="preserve">RFS</t>
  </si>
  <si>
    <t xml:space="preserve">Tx feedline</t>
  </si>
  <si>
    <t xml:space="preserve">CONTROL &amp; TIMING</t>
  </si>
  <si>
    <t xml:space="preserve">WR-SWITCH-18</t>
  </si>
  <si>
    <t xml:space="preserve">WR Switch 18-port</t>
  </si>
  <si>
    <t xml:space="preserve">Timing dist</t>
  </si>
  <si>
    <t xml:space="preserve">OSC-8607</t>
  </si>
  <si>
    <t xml:space="preserve">OCXO 100MHz</t>
  </si>
  <si>
    <t xml:space="preserve">Oscilloquartz</t>
  </si>
  <si>
    <t xml:space="preserve">Morion</t>
  </si>
  <si>
    <t xml:space="preserve">±1ppb</t>
  </si>
  <si>
    <t xml:space="preserve">PXI-1082</t>
  </si>
  <si>
    <t xml:space="preserve">PXI Chassis+Controller</t>
  </si>
  <si>
    <t xml:space="preserve">NI</t>
  </si>
  <si>
    <t xml:space="preserve">Control</t>
  </si>
  <si>
    <t xml:space="preserve">POWER &amp; COOLING</t>
  </si>
  <si>
    <t xml:space="preserve">GEN600-25</t>
  </si>
  <si>
    <t xml:space="preserve">15kW PA PSU</t>
  </si>
  <si>
    <t xml:space="preserve">TDK-Lambda</t>
  </si>
  <si>
    <t xml:space="preserve">PA bias</t>
  </si>
  <si>
    <t xml:space="preserve">690LX-PN</t>
  </si>
  <si>
    <t xml:space="preserve">Liquid Cooling</t>
  </si>
  <si>
    <t xml:space="preserve">Asetek</t>
  </si>
  <si>
    <t xml:space="preserve">PA thermal</t>
  </si>
  <si>
    <t xml:space="preserve">C30D6</t>
  </si>
  <si>
    <t xml:space="preserve">30kVA Diesel Gen</t>
  </si>
  <si>
    <t xml:space="preserve">Cummins</t>
  </si>
  <si>
    <t xml:space="preserve">Caterpillar</t>
  </si>
  <si>
    <t xml:space="preserve">Field power</t>
  </si>
  <si>
    <t xml:space="preserve">ENCLOSURE</t>
  </si>
  <si>
    <t xml:space="preserve">ISO-10FT-MOD</t>
  </si>
  <si>
    <t xml:space="preserve">10ft ISO Container</t>
  </si>
  <si>
    <t xml:space="preserve">10-14 wks</t>
  </si>
  <si>
    <t xml:space="preserve">Mobile shelter</t>
  </si>
  <si>
    <t xml:space="preserve">HVAC-5KW</t>
  </si>
  <si>
    <t xml:space="preserve">HVAC Unit 5kW</t>
  </si>
  <si>
    <t xml:space="preserve">Bard</t>
  </si>
  <si>
    <t xml:space="preserve">Climate</t>
  </si>
  <si>
    <t xml:space="preserve">TOTAL Tx NODE</t>
  </si>
  <si>
    <t xml:space="preserve">QEDMMA Volume Pricing Analysis</t>
  </si>
  <si>
    <t xml:space="preserve">Component Category</t>
  </si>
  <si>
    <t xml:space="preserve">Prototype (1)</t>
  </si>
  <si>
    <t xml:space="preserve">10 units</t>
  </si>
  <si>
    <t xml:space="preserve">50 units</t>
  </si>
  <si>
    <t xml:space="preserve">100 units</t>
  </si>
  <si>
    <t xml:space="preserve">Volume Discount</t>
  </si>
  <si>
    <t xml:space="preserve">Rydberg Sensor Kit</t>
  </si>
  <si>
    <t xml:space="preserve">34%</t>
  </si>
  <si>
    <t xml:space="preserve">Volume partnership pricing</t>
  </si>
  <si>
    <t xml:space="preserve">Metamaterial Array</t>
  </si>
  <si>
    <t xml:space="preserve">61%</t>
  </si>
  <si>
    <t xml:space="preserve">Tooling amortization</t>
  </si>
  <si>
    <t xml:space="preserve">FPGA &amp; Processing</t>
  </si>
  <si>
    <t xml:space="preserve">44%</t>
  </si>
  <si>
    <t xml:space="preserve">AMD volume program</t>
  </si>
  <si>
    <t xml:space="preserve">Edge AI (Orin)</t>
  </si>
  <si>
    <t xml:space="preserve">36%</t>
  </si>
  <si>
    <t xml:space="preserve">NVIDIA partner pricing</t>
  </si>
  <si>
    <t xml:space="preserve">Timing Subsystem</t>
  </si>
  <si>
    <t xml:space="preserve">32%</t>
  </si>
  <si>
    <t xml:space="preserve">Modest volume savings</t>
  </si>
  <si>
    <t xml:space="preserve">Power &amp; Enclosure</t>
  </si>
  <si>
    <t xml:space="preserve">49%</t>
  </si>
  <si>
    <t xml:space="preserve">Standard commodity scaling</t>
  </si>
  <si>
    <t xml:space="preserve">Integration/Calibration</t>
  </si>
  <si>
    <t xml:space="preserve">65%</t>
  </si>
  <si>
    <t xml:space="preserve">Learning curve reduction</t>
  </si>
  <si>
    <t xml:space="preserve">Contingency</t>
  </si>
  <si>
    <t xml:space="preserve">SUBTOTAL Rx Node</t>
  </si>
  <si>
    <t xml:space="preserve">Tx Node</t>
  </si>
  <si>
    <t xml:space="preserve">PA scaling</t>
  </si>
  <si>
    <t xml:space="preserve">C2 Center (amortized)</t>
  </si>
  <si>
    <t xml:space="preserve">85%</t>
  </si>
  <si>
    <t xml:space="preserve">Fixed cost spread</t>
  </si>
  <si>
    <t xml:space="preserve">SYSTEM (4×Rx + 1×Tx + C2)</t>
  </si>
  <si>
    <t xml:space="preserve">QEDMMA Supply Chain Risk Assessment</t>
  </si>
  <si>
    <t xml:space="preserve">Component</t>
  </si>
  <si>
    <t xml:space="preserve">Single Source?</t>
  </si>
  <si>
    <t xml:space="preserve">Geo Risk</t>
  </si>
  <si>
    <t xml:space="preserve">Overall Risk</t>
  </si>
  <si>
    <t xml:space="preserve">Mitigation Strategy</t>
  </si>
  <si>
    <t xml:space="preserve">Priority</t>
  </si>
  <si>
    <t xml:space="preserve">Toptica 780nm Laser</t>
  </si>
  <si>
    <t xml:space="preserve">NO</t>
  </si>
  <si>
    <t xml:space="preserve">MEDIUM</t>
  </si>
  <si>
    <t xml:space="preserve">Multi-vendor qualification (Moglabs)</t>
  </si>
  <si>
    <t xml:space="preserve">YES</t>
  </si>
  <si>
    <t xml:space="preserve">P2</t>
  </si>
  <si>
    <t xml:space="preserve">Coherent 480nm Laser</t>
  </si>
  <si>
    <t xml:space="preserve">Toptica DL100 as backup</t>
  </si>
  <si>
    <t xml:space="preserve">Qualify second supplier (Thorlabs)</t>
  </si>
  <si>
    <t xml:space="preserve">PARTIAL</t>
  </si>
  <si>
    <t xml:space="preserve">P1</t>
  </si>
  <si>
    <t xml:space="preserve">Xilinx ZU47DR RFSoC</t>
  </si>
  <si>
    <t xml:space="preserve">Early order, buffer stock, ZU39DR fallback</t>
  </si>
  <si>
    <t xml:space="preserve">CRITICAL</t>
  </si>
  <si>
    <t xml:space="preserve">In-house fab capability development</t>
  </si>
  <si>
    <t xml:space="preserve">CSAC SA.45s</t>
  </si>
  <si>
    <t xml:space="preserve">Oscilloquartz alternative</t>
  </si>
  <si>
    <t xml:space="preserve">White Rabbit (Seven Sol)</t>
  </si>
  <si>
    <t xml:space="preserve">CERN open-source alternative</t>
  </si>
  <si>
    <t xml:space="preserve">P3</t>
  </si>
  <si>
    <t xml:space="preserve">GaN PA Module</t>
  </si>
  <si>
    <t xml:space="preserve">Wolfspeed + Ampleon dual source</t>
  </si>
  <si>
    <t xml:space="preserve">NVIDIA Orin AGX</t>
  </si>
  <si>
    <t xml:space="preserve">Orin NX downgrade option</t>
  </si>
  <si>
    <t xml:space="preserve">QEDMMA Supplier Directory</t>
  </si>
  <si>
    <t xml:space="preserve">Supplier</t>
  </si>
  <si>
    <t xml:space="preserve">Location</t>
  </si>
  <si>
    <t xml:space="preserve">Contact/Website</t>
  </si>
  <si>
    <t xml:space="preserve">Payment Terms</t>
  </si>
  <si>
    <t xml:space="preserve">Min Order</t>
  </si>
  <si>
    <t xml:space="preserve">Typical Lead</t>
  </si>
  <si>
    <t xml:space="preserve">Lasers</t>
  </si>
  <si>
    <t xml:space="preserve">Germany</t>
  </si>
  <si>
    <t xml:space="preserve">toptica.com</t>
  </si>
  <si>
    <t xml:space="preserve">Net 30</t>
  </si>
  <si>
    <t xml:space="preserve">€5,000</t>
  </si>
  <si>
    <t xml:space="preserve">Primary laser supplier</t>
  </si>
  <si>
    <t xml:space="preserve">USA/Germany</t>
  </si>
  <si>
    <t xml:space="preserve">coherent.com</t>
  </si>
  <si>
    <t xml:space="preserve">€2,000</t>
  </si>
  <si>
    <t xml:space="preserve">OBIS product line</t>
  </si>
  <si>
    <t xml:space="preserve">Moglabs</t>
  </si>
  <si>
    <t xml:space="preserve">Lasers (alt)</t>
  </si>
  <si>
    <t xml:space="preserve">Australia</t>
  </si>
  <si>
    <t xml:space="preserve">moglabs.com</t>
  </si>
  <si>
    <t xml:space="preserve">AUD 5,000</t>
  </si>
  <si>
    <t xml:space="preserve">Alternative supplier</t>
  </si>
  <si>
    <t xml:space="preserve">FPGA</t>
  </si>
  <si>
    <t xml:space="preserve">USA</t>
  </si>
  <si>
    <t xml:space="preserve">xilinx.com</t>
  </si>
  <si>
    <t xml:space="preserve">Net 45</t>
  </si>
  <si>
    <t xml:space="preserve">$10,000</t>
  </si>
  <si>
    <t xml:space="preserve">Direct or distribution</t>
  </si>
  <si>
    <t xml:space="preserve">Arrow Electronics</t>
  </si>
  <si>
    <t xml:space="preserve">Distribution</t>
  </si>
  <si>
    <t xml:space="preserve">Global</t>
  </si>
  <si>
    <t xml:space="preserve">arrow.com</t>
  </si>
  <si>
    <t xml:space="preserve">€1,000</t>
  </si>
  <si>
    <t xml:space="preserve">2-20 wks</t>
  </si>
  <si>
    <t xml:space="preserve">FPGA, passives</t>
  </si>
  <si>
    <t xml:space="preserve">Mouser Electronics</t>
  </si>
  <si>
    <t xml:space="preserve">mouser.com</t>
  </si>
  <si>
    <t xml:space="preserve">€50</t>
  </si>
  <si>
    <t xml:space="preserve">1-20 wks</t>
  </si>
  <si>
    <t xml:space="preserve">General components</t>
  </si>
  <si>
    <t xml:space="preserve">DigiKey</t>
  </si>
  <si>
    <t xml:space="preserve">digikey.com</t>
  </si>
  <si>
    <t xml:space="preserve">€0</t>
  </si>
  <si>
    <t xml:space="preserve">Fast EU shipping</t>
  </si>
  <si>
    <t xml:space="preserve">Timing</t>
  </si>
  <si>
    <t xml:space="preserve">Spain</t>
  </si>
  <si>
    <t xml:space="preserve">sevensols.com</t>
  </si>
  <si>
    <t xml:space="preserve">€3,000</t>
  </si>
  <si>
    <t xml:space="preserve">White Rabbit</t>
  </si>
  <si>
    <t xml:space="preserve">microchip.com</t>
  </si>
  <si>
    <t xml:space="preserve">$1,000</t>
  </si>
  <si>
    <t xml:space="preserve">CSAC, clocks</t>
  </si>
  <si>
    <t xml:space="preserve">AI/GPU</t>
  </si>
  <si>
    <t xml:space="preserve">nvidia.com</t>
  </si>
  <si>
    <t xml:space="preserve">$5,000</t>
  </si>
  <si>
    <t xml:space="preserve">Jetson, data center</t>
  </si>
  <si>
    <t xml:space="preserve">RF</t>
  </si>
  <si>
    <t xml:space="preserve">minicircuits.com</t>
  </si>
  <si>
    <t xml:space="preserve">$100</t>
  </si>
  <si>
    <t xml:space="preserve">1-4 wks</t>
  </si>
  <si>
    <t xml:space="preserve">Amplifiers, filters</t>
  </si>
  <si>
    <t xml:space="preserve">Optics</t>
  </si>
  <si>
    <t xml:space="preserve">thorlabs.com</t>
  </si>
  <si>
    <t xml:space="preserve">€100</t>
  </si>
  <si>
    <t xml:space="preserve">General optics</t>
  </si>
  <si>
    <t xml:space="preserve">Enclosures</t>
  </si>
  <si>
    <t xml:space="preserve">pelican.com</t>
  </si>
  <si>
    <t xml:space="preserve">Rugged cases</t>
  </si>
  <si>
    <t xml:space="preserve">Custom Cells</t>
  </si>
  <si>
    <t xml:space="preserve">precisionglassblowing.com</t>
  </si>
  <si>
    <t xml:space="preserve">$2,000</t>
  </si>
  <si>
    <t xml:space="preserve">Vapor cells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</si>
</sst>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2"/>
      <name val="Cambria"/>
      <family val="0"/>
      <charset val="1"/>
    </font>
    <font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000"/>
        <bgColor rgb="FFFF9900"/>
      </patternFill>
    </fill>
    <fill>
      <patternFill patternType="solid">
        <fgColor rgb="FFFFE066"/>
        <bgColor rgb="FFFFFF99"/>
      </patternFill>
    </fill>
    <fill>
      <patternFill patternType="solid">
        <fgColor rgb="FF69DB7C"/>
        <bgColor rgb="FF99CC00"/>
      </patternFill>
    </fill>
    <fill>
      <patternFill patternType="solid">
        <fgColor rgb="FFFF6B6B"/>
        <bgColor rgb="FFFF6600"/>
      </patternFill>
    </fill>
    <fill>
      <patternFill patternType="solid">
        <fgColor rgb="FFBDD7EE"/>
        <bgColor rgb="FF99CCFF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66"/>
      <rgbColor rgb="FF3366FF"/>
      <rgbColor rgb="FF69DB7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n">
        <v>4</v>
      </c>
      <c r="C6" s="5" t="n">
        <v>165000</v>
      </c>
      <c r="D6" s="5" t="n">
        <f aca="false">B6*C6</f>
        <v>660000</v>
      </c>
      <c r="E6" s="5" t="n">
        <v>52000</v>
      </c>
      <c r="F6" s="6" t="n">
        <f aca="false">(C6-E6)/C6</f>
        <v>0.684848484848485</v>
      </c>
      <c r="G6" s="5" t="s">
        <v>11</v>
      </c>
    </row>
    <row r="7" customFormat="false" ht="15" hidden="false" customHeight="false" outlineLevel="0" collapsed="false">
      <c r="A7" s="5" t="s">
        <v>12</v>
      </c>
      <c r="B7" s="5" t="n">
        <v>1</v>
      </c>
      <c r="C7" s="5" t="n">
        <v>85000</v>
      </c>
      <c r="D7" s="5" t="n">
        <f aca="false">B7*C7</f>
        <v>85000</v>
      </c>
      <c r="E7" s="5" t="n">
        <v>35000</v>
      </c>
      <c r="F7" s="6" t="n">
        <f aca="false">(C7-E7)/C7</f>
        <v>0.588235294117647</v>
      </c>
      <c r="G7" s="5" t="s">
        <v>13</v>
      </c>
    </row>
    <row r="8" customFormat="false" ht="15" hidden="false" customHeight="false" outlineLevel="0" collapsed="false">
      <c r="A8" s="5" t="s">
        <v>14</v>
      </c>
      <c r="B8" s="5" t="n">
        <v>1</v>
      </c>
      <c r="C8" s="5" t="n">
        <v>120000</v>
      </c>
      <c r="D8" s="5" t="n">
        <f aca="false">B8*C8</f>
        <v>120000</v>
      </c>
      <c r="E8" s="5" t="n">
        <v>75000</v>
      </c>
      <c r="F8" s="6" t="n">
        <f aca="false">(C8-E8)/C8</f>
        <v>0.375</v>
      </c>
      <c r="G8" s="5" t="s">
        <v>15</v>
      </c>
    </row>
    <row r="9" customFormat="false" ht="15" hidden="false" customHeight="false" outlineLevel="0" collapsed="false">
      <c r="A9" s="5" t="s">
        <v>16</v>
      </c>
      <c r="B9" s="5" t="n">
        <v>1</v>
      </c>
      <c r="C9" s="5" t="n">
        <v>45000</v>
      </c>
      <c r="D9" s="5" t="n">
        <f aca="false">B9*C9</f>
        <v>45000</v>
      </c>
      <c r="E9" s="5" t="n">
        <v>25000</v>
      </c>
      <c r="F9" s="6" t="n">
        <f aca="false">(C9-E9)/C9</f>
        <v>0.444444444444444</v>
      </c>
      <c r="G9" s="5" t="s">
        <v>17</v>
      </c>
    </row>
    <row r="10" customFormat="false" ht="15" hidden="false" customHeight="false" outlineLevel="0" collapsed="false">
      <c r="A10" s="5" t="s">
        <v>18</v>
      </c>
      <c r="B10" s="5" t="n">
        <v>1</v>
      </c>
      <c r="C10" s="5" t="n">
        <v>80000</v>
      </c>
      <c r="D10" s="5" t="n">
        <f aca="false">B10*C10</f>
        <v>80000</v>
      </c>
      <c r="E10" s="5" t="n">
        <v>30000</v>
      </c>
      <c r="F10" s="6" t="n">
        <f aca="false">(C10-E10)/C10</f>
        <v>0.625</v>
      </c>
      <c r="G10" s="5" t="s">
        <v>19</v>
      </c>
    </row>
    <row r="11" customFormat="false" ht="15" hidden="false" customHeight="false" outlineLevel="0" collapsed="false">
      <c r="A11" s="5" t="s">
        <v>20</v>
      </c>
      <c r="B11" s="5"/>
      <c r="C11" s="5"/>
      <c r="D11" s="5" t="n">
        <f aca="false">SUM(D6:D10)*0.15</f>
        <v>148500</v>
      </c>
      <c r="E11" s="5" t="n">
        <f aca="false">SUM(E6:E10)*0.15</f>
        <v>32550</v>
      </c>
      <c r="F11" s="5"/>
      <c r="G11" s="5" t="s">
        <v>21</v>
      </c>
    </row>
    <row r="12" customFormat="false" ht="15" hidden="false" customHeight="false" outlineLevel="0" collapsed="false">
      <c r="A12" s="7" t="s">
        <v>22</v>
      </c>
      <c r="B12" s="7"/>
      <c r="C12" s="7"/>
      <c r="D12" s="7" t="n">
        <f aca="false">SUM(D6:D11)</f>
        <v>1138500</v>
      </c>
      <c r="E12" s="7" t="n">
        <f aca="false">SUM(E6:E11)</f>
        <v>249550</v>
      </c>
      <c r="F12" s="7"/>
      <c r="G12" s="7" t="s">
        <v>23</v>
      </c>
    </row>
    <row r="14" customFormat="false" ht="15" hidden="false" customHeight="false" outlineLevel="0" collapsed="false">
      <c r="A14" s="8" t="s">
        <v>24</v>
      </c>
    </row>
    <row r="15" customFormat="false" ht="15" hidden="false" customHeight="false" outlineLevel="0" collapsed="false">
      <c r="A15" s="9" t="s">
        <v>25</v>
      </c>
      <c r="B15" s="9" t="s">
        <v>26</v>
      </c>
      <c r="C15" s="9" t="s">
        <v>27</v>
      </c>
      <c r="D15" s="9" t="s">
        <v>28</v>
      </c>
    </row>
    <row r="16" customFormat="false" ht="15" hidden="false" customHeight="false" outlineLevel="0" collapsed="false">
      <c r="A16" s="5" t="s">
        <v>29</v>
      </c>
      <c r="B16" s="5" t="s">
        <v>30</v>
      </c>
      <c r="C16" s="5" t="s">
        <v>31</v>
      </c>
      <c r="D16" s="10" t="s">
        <v>32</v>
      </c>
    </row>
    <row r="17" customFormat="false" ht="15" hidden="false" customHeight="false" outlineLevel="0" collapsed="false">
      <c r="A17" s="5" t="s">
        <v>33</v>
      </c>
      <c r="B17" s="5" t="s">
        <v>34</v>
      </c>
      <c r="C17" s="5" t="s">
        <v>35</v>
      </c>
      <c r="D17" s="11" t="s">
        <v>36</v>
      </c>
    </row>
    <row r="18" customFormat="false" ht="15" hidden="false" customHeight="false" outlineLevel="0" collapsed="false">
      <c r="A18" s="5" t="s">
        <v>37</v>
      </c>
      <c r="B18" s="5" t="n">
        <f aca="false">D12</f>
        <v>1138500</v>
      </c>
      <c r="C18" s="5" t="s">
        <v>38</v>
      </c>
      <c r="D18" s="5"/>
    </row>
    <row r="19" customFormat="false" ht="15" hidden="false" customHeight="false" outlineLevel="0" collapsed="false">
      <c r="A19" s="5" t="s">
        <v>39</v>
      </c>
      <c r="B19" s="5" t="s">
        <v>40</v>
      </c>
      <c r="C19" s="5" t="s">
        <v>41</v>
      </c>
      <c r="D19" s="10" t="s">
        <v>32</v>
      </c>
    </row>
    <row r="20" customFormat="false" ht="15" hidden="false" customHeight="false" outlineLevel="0" collapsed="false">
      <c r="A20" s="5" t="s">
        <v>42</v>
      </c>
      <c r="B20" s="5" t="s">
        <v>43</v>
      </c>
      <c r="C20" s="5" t="s">
        <v>44</v>
      </c>
      <c r="D20" s="12" t="s">
        <v>45</v>
      </c>
    </row>
    <row r="21" customFormat="false" ht="15" hidden="false" customHeight="false" outlineLevel="0" collapsed="false">
      <c r="A21" s="5" t="s">
        <v>46</v>
      </c>
      <c r="B21" s="5" t="s">
        <v>47</v>
      </c>
      <c r="C21" s="5" t="s">
        <v>48</v>
      </c>
      <c r="D21" s="10" t="s">
        <v>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8" min="6" style="0" width="10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13" t="s">
        <v>49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customFormat="false" ht="28.35" hidden="false" customHeight="false" outlineLevel="0" collapsed="false">
      <c r="A3" s="4" t="s">
        <v>50</v>
      </c>
      <c r="B3" s="4" t="s">
        <v>51</v>
      </c>
      <c r="C3" s="4" t="s">
        <v>52</v>
      </c>
      <c r="D3" s="4" t="s">
        <v>53</v>
      </c>
      <c r="E3" s="4" t="s">
        <v>4</v>
      </c>
      <c r="F3" s="4" t="s">
        <v>54</v>
      </c>
      <c r="G3" s="4" t="s">
        <v>55</v>
      </c>
      <c r="H3" s="4" t="s">
        <v>56</v>
      </c>
      <c r="I3" s="4" t="s">
        <v>57</v>
      </c>
      <c r="J3" s="4" t="s">
        <v>58</v>
      </c>
      <c r="K3" s="4" t="s">
        <v>9</v>
      </c>
    </row>
    <row r="4" customFormat="false" ht="15" hidden="false" customHeight="false" outlineLevel="0" collapsed="false">
      <c r="A4" s="14" t="s">
        <v>59</v>
      </c>
      <c r="B4" s="14"/>
      <c r="C4" s="14"/>
      <c r="D4" s="14"/>
      <c r="E4" s="14"/>
      <c r="F4" s="14"/>
      <c r="G4" s="14" t="n">
        <v>71600</v>
      </c>
      <c r="H4" s="14"/>
      <c r="I4" s="14"/>
      <c r="J4" s="14"/>
      <c r="K4" s="14"/>
    </row>
    <row r="5" customFormat="false" ht="15" hidden="false" customHeight="false" outlineLevel="0" collapsed="false">
      <c r="A5" s="5"/>
      <c r="B5" s="5" t="s">
        <v>60</v>
      </c>
      <c r="C5" s="5" t="s">
        <v>61</v>
      </c>
      <c r="D5" s="5" t="s">
        <v>62</v>
      </c>
      <c r="E5" s="5" t="n">
        <v>1</v>
      </c>
      <c r="F5" s="5" t="n">
        <v>28000</v>
      </c>
      <c r="G5" s="5" t="n">
        <v>28000</v>
      </c>
      <c r="H5" s="5" t="s">
        <v>63</v>
      </c>
      <c r="I5" s="11" t="s">
        <v>64</v>
      </c>
      <c r="J5" s="5" t="s">
        <v>65</v>
      </c>
      <c r="K5" s="5" t="s">
        <v>66</v>
      </c>
    </row>
    <row r="6" customFormat="false" ht="15" hidden="false" customHeight="false" outlineLevel="0" collapsed="false">
      <c r="A6" s="5"/>
      <c r="B6" s="5" t="s">
        <v>67</v>
      </c>
      <c r="C6" s="5" t="s">
        <v>68</v>
      </c>
      <c r="D6" s="5" t="s">
        <v>69</v>
      </c>
      <c r="E6" s="5" t="n">
        <v>1</v>
      </c>
      <c r="F6" s="5" t="n">
        <v>18000</v>
      </c>
      <c r="G6" s="5" t="n">
        <v>18000</v>
      </c>
      <c r="H6" s="5" t="s">
        <v>70</v>
      </c>
      <c r="I6" s="11" t="s">
        <v>64</v>
      </c>
      <c r="J6" s="5" t="s">
        <v>71</v>
      </c>
      <c r="K6" s="5" t="s">
        <v>72</v>
      </c>
    </row>
    <row r="7" customFormat="false" ht="15" hidden="false" customHeight="false" outlineLevel="0" collapsed="false">
      <c r="A7" s="5"/>
      <c r="B7" s="5" t="s">
        <v>73</v>
      </c>
      <c r="C7" s="5" t="s">
        <v>74</v>
      </c>
      <c r="D7" s="5" t="s">
        <v>75</v>
      </c>
      <c r="E7" s="5" t="n">
        <v>1</v>
      </c>
      <c r="F7" s="5" t="n">
        <v>8500</v>
      </c>
      <c r="G7" s="5" t="n">
        <v>8500</v>
      </c>
      <c r="H7" s="5" t="s">
        <v>76</v>
      </c>
      <c r="I7" s="10" t="s">
        <v>77</v>
      </c>
      <c r="J7" s="5" t="s">
        <v>78</v>
      </c>
      <c r="K7" s="5" t="s">
        <v>79</v>
      </c>
    </row>
    <row r="8" customFormat="false" ht="15" hidden="false" customHeight="false" outlineLevel="0" collapsed="false">
      <c r="A8" s="5"/>
      <c r="B8" s="5" t="s">
        <v>80</v>
      </c>
      <c r="C8" s="5" t="s">
        <v>81</v>
      </c>
      <c r="D8" s="5" t="s">
        <v>82</v>
      </c>
      <c r="E8" s="5" t="n">
        <v>1</v>
      </c>
      <c r="F8" s="5" t="n">
        <v>6500</v>
      </c>
      <c r="G8" s="5" t="n">
        <v>6500</v>
      </c>
      <c r="H8" s="5" t="s">
        <v>83</v>
      </c>
      <c r="I8" s="11" t="s">
        <v>64</v>
      </c>
      <c r="J8" s="5" t="s">
        <v>84</v>
      </c>
      <c r="K8" s="5" t="s">
        <v>85</v>
      </c>
    </row>
    <row r="9" customFormat="false" ht="15" hidden="false" customHeight="false" outlineLevel="0" collapsed="false">
      <c r="A9" s="5"/>
      <c r="B9" s="5" t="s">
        <v>86</v>
      </c>
      <c r="C9" s="5" t="s">
        <v>87</v>
      </c>
      <c r="D9" s="5" t="s">
        <v>88</v>
      </c>
      <c r="E9" s="5" t="n">
        <v>2</v>
      </c>
      <c r="F9" s="5" t="n">
        <v>2800</v>
      </c>
      <c r="G9" s="5" t="n">
        <v>5600</v>
      </c>
      <c r="H9" s="5" t="s">
        <v>89</v>
      </c>
      <c r="I9" s="11" t="s">
        <v>64</v>
      </c>
      <c r="J9" s="5" t="s">
        <v>90</v>
      </c>
      <c r="K9" s="5" t="s">
        <v>91</v>
      </c>
    </row>
    <row r="10" customFormat="false" ht="15" hidden="false" customHeight="false" outlineLevel="0" collapsed="false">
      <c r="A10" s="5"/>
      <c r="B10" s="5" t="s">
        <v>92</v>
      </c>
      <c r="C10" s="5" t="s">
        <v>93</v>
      </c>
      <c r="D10" s="5" t="s">
        <v>94</v>
      </c>
      <c r="E10" s="5" t="n">
        <v>1</v>
      </c>
      <c r="F10" s="5" t="n">
        <v>3500</v>
      </c>
      <c r="G10" s="5" t="n">
        <v>3500</v>
      </c>
      <c r="H10" s="5" t="s">
        <v>83</v>
      </c>
      <c r="I10" s="11" t="s">
        <v>64</v>
      </c>
      <c r="J10" s="5" t="s">
        <v>95</v>
      </c>
      <c r="K10" s="5" t="s">
        <v>96</v>
      </c>
    </row>
    <row r="11" customFormat="false" ht="15" hidden="false" customHeight="false" outlineLevel="0" collapsed="false">
      <c r="A11" s="5"/>
      <c r="B11" s="5" t="s">
        <v>97</v>
      </c>
      <c r="C11" s="5" t="s">
        <v>98</v>
      </c>
      <c r="D11" s="5" t="s">
        <v>99</v>
      </c>
      <c r="E11" s="5" t="n">
        <v>1</v>
      </c>
      <c r="F11" s="5" t="n">
        <v>1500</v>
      </c>
      <c r="G11" s="5" t="n">
        <v>1500</v>
      </c>
      <c r="H11" s="5" t="s">
        <v>100</v>
      </c>
      <c r="I11" s="10" t="s">
        <v>77</v>
      </c>
      <c r="J11" s="5" t="s">
        <v>84</v>
      </c>
      <c r="K11" s="5" t="s">
        <v>101</v>
      </c>
    </row>
    <row r="12" customFormat="false" ht="15" hidden="false" customHeight="false" outlineLevel="0" collapsed="false">
      <c r="A12" s="14" t="s">
        <v>102</v>
      </c>
      <c r="B12" s="14"/>
      <c r="C12" s="14"/>
      <c r="D12" s="14"/>
      <c r="E12" s="14"/>
      <c r="F12" s="14"/>
      <c r="G12" s="14" t="n">
        <v>20760</v>
      </c>
      <c r="H12" s="14"/>
      <c r="I12" s="14"/>
      <c r="J12" s="14"/>
      <c r="K12" s="14"/>
    </row>
    <row r="13" customFormat="false" ht="15" hidden="false" customHeight="false" outlineLevel="0" collapsed="false">
      <c r="A13" s="5"/>
      <c r="B13" s="5" t="s">
        <v>103</v>
      </c>
      <c r="C13" s="5" t="s">
        <v>104</v>
      </c>
      <c r="D13" s="5" t="s">
        <v>105</v>
      </c>
      <c r="E13" s="5" t="n">
        <v>1</v>
      </c>
      <c r="F13" s="5" t="n">
        <v>18000</v>
      </c>
      <c r="G13" s="5" t="n">
        <v>18000</v>
      </c>
      <c r="H13" s="5" t="s">
        <v>63</v>
      </c>
      <c r="I13" s="12" t="s">
        <v>106</v>
      </c>
      <c r="J13" s="5" t="s">
        <v>107</v>
      </c>
      <c r="K13" s="5" t="s">
        <v>108</v>
      </c>
    </row>
    <row r="14" customFormat="false" ht="15" hidden="false" customHeight="false" outlineLevel="0" collapsed="false">
      <c r="A14" s="5"/>
      <c r="B14" s="5" t="s">
        <v>109</v>
      </c>
      <c r="C14" s="5" t="s">
        <v>110</v>
      </c>
      <c r="D14" s="5" t="s">
        <v>111</v>
      </c>
      <c r="E14" s="5" t="n">
        <v>2</v>
      </c>
      <c r="F14" s="5" t="n">
        <v>450</v>
      </c>
      <c r="G14" s="5" t="n">
        <v>900</v>
      </c>
      <c r="H14" s="5" t="s">
        <v>112</v>
      </c>
      <c r="I14" s="11" t="s">
        <v>64</v>
      </c>
      <c r="J14" s="5" t="s">
        <v>113</v>
      </c>
      <c r="K14" s="5" t="s">
        <v>114</v>
      </c>
    </row>
    <row r="15" customFormat="false" ht="15" hidden="false" customHeight="false" outlineLevel="0" collapsed="false">
      <c r="A15" s="5"/>
      <c r="B15" s="5" t="s">
        <v>115</v>
      </c>
      <c r="C15" s="5" t="s">
        <v>116</v>
      </c>
      <c r="D15" s="5" t="s">
        <v>111</v>
      </c>
      <c r="E15" s="5" t="n">
        <v>2</v>
      </c>
      <c r="F15" s="5" t="n">
        <v>850</v>
      </c>
      <c r="G15" s="5" t="n">
        <v>1700</v>
      </c>
      <c r="H15" s="5" t="s">
        <v>83</v>
      </c>
      <c r="I15" s="11" t="s">
        <v>64</v>
      </c>
      <c r="J15" s="5" t="s">
        <v>117</v>
      </c>
      <c r="K15" s="5" t="s">
        <v>118</v>
      </c>
    </row>
    <row r="16" customFormat="false" ht="15" hidden="false" customHeight="false" outlineLevel="0" collapsed="false">
      <c r="A16" s="5"/>
      <c r="B16" s="5" t="s">
        <v>119</v>
      </c>
      <c r="C16" s="5" t="s">
        <v>120</v>
      </c>
      <c r="D16" s="5" t="s">
        <v>111</v>
      </c>
      <c r="E16" s="5" t="n">
        <v>2</v>
      </c>
      <c r="F16" s="5" t="n">
        <v>80</v>
      </c>
      <c r="G16" s="5" t="n">
        <v>160</v>
      </c>
      <c r="H16" s="5" t="s">
        <v>121</v>
      </c>
      <c r="I16" s="11" t="s">
        <v>64</v>
      </c>
      <c r="J16" s="5" t="s">
        <v>84</v>
      </c>
      <c r="K16" s="5" t="s">
        <v>122</v>
      </c>
    </row>
    <row r="17" customFormat="false" ht="15" hidden="false" customHeight="false" outlineLevel="0" collapsed="false">
      <c r="A17" s="14" t="s">
        <v>123</v>
      </c>
      <c r="B17" s="14"/>
      <c r="C17" s="14"/>
      <c r="D17" s="14"/>
      <c r="E17" s="14"/>
      <c r="F17" s="14"/>
      <c r="G17" s="14" t="n">
        <v>21580</v>
      </c>
      <c r="H17" s="14"/>
      <c r="I17" s="14"/>
      <c r="J17" s="14"/>
      <c r="K17" s="14"/>
    </row>
    <row r="18" customFormat="false" ht="15" hidden="false" customHeight="false" outlineLevel="0" collapsed="false">
      <c r="A18" s="5"/>
      <c r="B18" s="5" t="s">
        <v>124</v>
      </c>
      <c r="C18" s="5" t="s">
        <v>125</v>
      </c>
      <c r="D18" s="5" t="s">
        <v>126</v>
      </c>
      <c r="E18" s="5" t="n">
        <v>1</v>
      </c>
      <c r="F18" s="5" t="n">
        <v>12500</v>
      </c>
      <c r="G18" s="5" t="n">
        <v>12500</v>
      </c>
      <c r="H18" s="5" t="s">
        <v>127</v>
      </c>
      <c r="I18" s="10" t="s">
        <v>77</v>
      </c>
      <c r="J18" s="5" t="s">
        <v>128</v>
      </c>
      <c r="K18" s="5" t="s">
        <v>129</v>
      </c>
    </row>
    <row r="19" customFormat="false" ht="15" hidden="false" customHeight="false" outlineLevel="0" collapsed="false">
      <c r="A19" s="5"/>
      <c r="B19" s="5" t="s">
        <v>130</v>
      </c>
      <c r="C19" s="5" t="s">
        <v>131</v>
      </c>
      <c r="D19" s="5" t="s">
        <v>126</v>
      </c>
      <c r="E19" s="5" t="n">
        <v>1</v>
      </c>
      <c r="F19" s="5" t="n">
        <v>8500</v>
      </c>
      <c r="G19" s="5" t="n">
        <v>8500</v>
      </c>
      <c r="H19" s="5" t="s">
        <v>132</v>
      </c>
      <c r="I19" s="11" t="s">
        <v>64</v>
      </c>
      <c r="J19" s="5" t="s">
        <v>133</v>
      </c>
      <c r="K19" s="5" t="s">
        <v>134</v>
      </c>
    </row>
    <row r="20" customFormat="false" ht="15" hidden="false" customHeight="false" outlineLevel="0" collapsed="false">
      <c r="A20" s="5"/>
      <c r="B20" s="5" t="s">
        <v>135</v>
      </c>
      <c r="C20" s="5" t="s">
        <v>136</v>
      </c>
      <c r="D20" s="5" t="s">
        <v>137</v>
      </c>
      <c r="E20" s="5" t="n">
        <v>2</v>
      </c>
      <c r="F20" s="5" t="n">
        <v>180</v>
      </c>
      <c r="G20" s="5" t="n">
        <v>360</v>
      </c>
      <c r="H20" s="5" t="s">
        <v>89</v>
      </c>
      <c r="I20" s="11" t="s">
        <v>64</v>
      </c>
      <c r="J20" s="5" t="s">
        <v>138</v>
      </c>
      <c r="K20" s="5" t="s">
        <v>139</v>
      </c>
    </row>
    <row r="21" customFormat="false" ht="15" hidden="false" customHeight="false" outlineLevel="0" collapsed="false">
      <c r="A21" s="5"/>
      <c r="B21" s="5" t="s">
        <v>140</v>
      </c>
      <c r="C21" s="5" t="s">
        <v>141</v>
      </c>
      <c r="D21" s="5" t="s">
        <v>142</v>
      </c>
      <c r="E21" s="5" t="n">
        <v>1</v>
      </c>
      <c r="F21" s="5" t="n">
        <v>220</v>
      </c>
      <c r="G21" s="5" t="n">
        <v>220</v>
      </c>
      <c r="H21" s="5" t="s">
        <v>121</v>
      </c>
      <c r="I21" s="11" t="s">
        <v>64</v>
      </c>
      <c r="J21" s="5" t="s">
        <v>143</v>
      </c>
      <c r="K21" s="5" t="s">
        <v>144</v>
      </c>
    </row>
    <row r="22" customFormat="false" ht="15" hidden="false" customHeight="false" outlineLevel="0" collapsed="false">
      <c r="A22" s="14" t="s">
        <v>145</v>
      </c>
      <c r="B22" s="14"/>
      <c r="C22" s="14"/>
      <c r="D22" s="14"/>
      <c r="E22" s="14"/>
      <c r="F22" s="14"/>
      <c r="G22" s="14" t="n">
        <v>3050</v>
      </c>
      <c r="H22" s="14"/>
      <c r="I22" s="14"/>
      <c r="J22" s="14"/>
      <c r="K22" s="14"/>
    </row>
    <row r="23" customFormat="false" ht="15" hidden="false" customHeight="false" outlineLevel="0" collapsed="false">
      <c r="A23" s="5"/>
      <c r="B23" s="5" t="s">
        <v>146</v>
      </c>
      <c r="C23" s="5" t="s">
        <v>147</v>
      </c>
      <c r="D23" s="5" t="s">
        <v>148</v>
      </c>
      <c r="E23" s="5" t="n">
        <v>1</v>
      </c>
      <c r="F23" s="5" t="n">
        <v>2200</v>
      </c>
      <c r="G23" s="5" t="n">
        <v>2200</v>
      </c>
      <c r="H23" s="5" t="s">
        <v>70</v>
      </c>
      <c r="I23" s="11" t="s">
        <v>64</v>
      </c>
      <c r="J23" s="5" t="s">
        <v>149</v>
      </c>
      <c r="K23" s="5" t="s">
        <v>150</v>
      </c>
    </row>
    <row r="24" customFormat="false" ht="15" hidden="false" customHeight="false" outlineLevel="0" collapsed="false">
      <c r="A24" s="5"/>
      <c r="B24" s="5" t="s">
        <v>151</v>
      </c>
      <c r="C24" s="5" t="s">
        <v>152</v>
      </c>
      <c r="D24" s="5" t="s">
        <v>153</v>
      </c>
      <c r="E24" s="5" t="n">
        <v>1</v>
      </c>
      <c r="F24" s="5" t="n">
        <v>850</v>
      </c>
      <c r="G24" s="5" t="n">
        <v>850</v>
      </c>
      <c r="H24" s="5" t="s">
        <v>83</v>
      </c>
      <c r="I24" s="11" t="s">
        <v>64</v>
      </c>
      <c r="J24" s="5" t="s">
        <v>154</v>
      </c>
      <c r="K24" s="5" t="s">
        <v>155</v>
      </c>
    </row>
    <row r="25" customFormat="false" ht="15" hidden="false" customHeight="false" outlineLevel="0" collapsed="false">
      <c r="A25" s="14" t="s">
        <v>156</v>
      </c>
      <c r="B25" s="14"/>
      <c r="C25" s="14"/>
      <c r="D25" s="14"/>
      <c r="E25" s="14"/>
      <c r="F25" s="14"/>
      <c r="G25" s="14" t="n">
        <v>11340</v>
      </c>
      <c r="H25" s="14"/>
      <c r="I25" s="14"/>
      <c r="J25" s="14"/>
      <c r="K25" s="14"/>
    </row>
    <row r="26" customFormat="false" ht="15" hidden="false" customHeight="false" outlineLevel="0" collapsed="false">
      <c r="A26" s="5"/>
      <c r="B26" s="5" t="s">
        <v>157</v>
      </c>
      <c r="C26" s="5" t="s">
        <v>158</v>
      </c>
      <c r="D26" s="5" t="s">
        <v>159</v>
      </c>
      <c r="E26" s="5" t="n">
        <v>1</v>
      </c>
      <c r="F26" s="5" t="n">
        <v>4200</v>
      </c>
      <c r="G26" s="5" t="n">
        <v>4200</v>
      </c>
      <c r="H26" s="5" t="s">
        <v>63</v>
      </c>
      <c r="I26" s="10" t="s">
        <v>77</v>
      </c>
      <c r="J26" s="5" t="s">
        <v>160</v>
      </c>
      <c r="K26" s="5" t="s">
        <v>161</v>
      </c>
    </row>
    <row r="27" customFormat="false" ht="15" hidden="false" customHeight="false" outlineLevel="0" collapsed="false">
      <c r="A27" s="5"/>
      <c r="B27" s="5" t="s">
        <v>162</v>
      </c>
      <c r="C27" s="5" t="s">
        <v>163</v>
      </c>
      <c r="D27" s="5" t="s">
        <v>164</v>
      </c>
      <c r="E27" s="5" t="n">
        <v>1</v>
      </c>
      <c r="F27" s="5" t="n">
        <v>4500</v>
      </c>
      <c r="G27" s="5" t="n">
        <v>4500</v>
      </c>
      <c r="H27" s="5" t="s">
        <v>100</v>
      </c>
      <c r="I27" s="11" t="s">
        <v>64</v>
      </c>
      <c r="J27" s="5" t="s">
        <v>165</v>
      </c>
      <c r="K27" s="5" t="s">
        <v>166</v>
      </c>
    </row>
    <row r="28" customFormat="false" ht="15" hidden="false" customHeight="false" outlineLevel="0" collapsed="false">
      <c r="A28" s="5"/>
      <c r="B28" s="5" t="s">
        <v>167</v>
      </c>
      <c r="C28" s="5" t="s">
        <v>168</v>
      </c>
      <c r="D28" s="5" t="s">
        <v>164</v>
      </c>
      <c r="E28" s="5" t="n">
        <v>2</v>
      </c>
      <c r="F28" s="5" t="n">
        <v>280</v>
      </c>
      <c r="G28" s="5" t="n">
        <v>560</v>
      </c>
      <c r="H28" s="5" t="s">
        <v>89</v>
      </c>
      <c r="I28" s="11" t="s">
        <v>64</v>
      </c>
      <c r="J28" s="5" t="s">
        <v>84</v>
      </c>
      <c r="K28" s="5" t="s">
        <v>169</v>
      </c>
    </row>
    <row r="29" customFormat="false" ht="15" hidden="false" customHeight="false" outlineLevel="0" collapsed="false">
      <c r="A29" s="5"/>
      <c r="B29" s="5" t="s">
        <v>170</v>
      </c>
      <c r="C29" s="5" t="s">
        <v>171</v>
      </c>
      <c r="D29" s="5" t="s">
        <v>172</v>
      </c>
      <c r="E29" s="5" t="n">
        <v>1</v>
      </c>
      <c r="F29" s="5" t="n">
        <v>2080</v>
      </c>
      <c r="G29" s="5" t="n">
        <v>2080</v>
      </c>
      <c r="H29" s="5" t="s">
        <v>83</v>
      </c>
      <c r="I29" s="11" t="s">
        <v>64</v>
      </c>
      <c r="J29" s="5" t="s">
        <v>173</v>
      </c>
      <c r="K29" s="5" t="s">
        <v>174</v>
      </c>
    </row>
    <row r="30" customFormat="false" ht="15" hidden="false" customHeight="false" outlineLevel="0" collapsed="false">
      <c r="A30" s="14" t="s">
        <v>175</v>
      </c>
      <c r="B30" s="14"/>
      <c r="C30" s="14"/>
      <c r="D30" s="14"/>
      <c r="E30" s="14"/>
      <c r="F30" s="14"/>
      <c r="G30" s="14" t="n">
        <v>15050</v>
      </c>
      <c r="H30" s="14"/>
      <c r="I30" s="14"/>
      <c r="J30" s="14"/>
      <c r="K30" s="14"/>
    </row>
    <row r="31" customFormat="false" ht="15" hidden="false" customHeight="false" outlineLevel="0" collapsed="false">
      <c r="A31" s="5"/>
      <c r="B31" s="5" t="s">
        <v>176</v>
      </c>
      <c r="C31" s="5" t="s">
        <v>177</v>
      </c>
      <c r="D31" s="5" t="s">
        <v>178</v>
      </c>
      <c r="E31" s="5" t="n">
        <v>1</v>
      </c>
      <c r="F31" s="5" t="n">
        <v>2800</v>
      </c>
      <c r="G31" s="5" t="n">
        <v>2800</v>
      </c>
      <c r="H31" s="5" t="s">
        <v>70</v>
      </c>
      <c r="I31" s="11" t="s">
        <v>64</v>
      </c>
      <c r="J31" s="5" t="s">
        <v>179</v>
      </c>
      <c r="K31" s="5" t="s">
        <v>180</v>
      </c>
    </row>
    <row r="32" customFormat="false" ht="15" hidden="false" customHeight="false" outlineLevel="0" collapsed="false">
      <c r="A32" s="5"/>
      <c r="B32" s="5" t="s">
        <v>181</v>
      </c>
      <c r="C32" s="5" t="s">
        <v>182</v>
      </c>
      <c r="D32" s="5" t="s">
        <v>183</v>
      </c>
      <c r="E32" s="5" t="n">
        <v>1</v>
      </c>
      <c r="F32" s="5" t="n">
        <v>2200</v>
      </c>
      <c r="G32" s="5" t="n">
        <v>2200</v>
      </c>
      <c r="H32" s="5" t="s">
        <v>89</v>
      </c>
      <c r="I32" s="11" t="s">
        <v>64</v>
      </c>
      <c r="J32" s="5" t="s">
        <v>184</v>
      </c>
      <c r="K32" s="5" t="s">
        <v>185</v>
      </c>
    </row>
    <row r="33" customFormat="false" ht="15" hidden="false" customHeight="false" outlineLevel="0" collapsed="false">
      <c r="A33" s="5"/>
      <c r="B33" s="5" t="s">
        <v>186</v>
      </c>
      <c r="C33" s="5" t="s">
        <v>187</v>
      </c>
      <c r="D33" s="5" t="s">
        <v>188</v>
      </c>
      <c r="E33" s="5" t="n">
        <v>1</v>
      </c>
      <c r="F33" s="5" t="n">
        <v>850</v>
      </c>
      <c r="G33" s="5" t="n">
        <v>850</v>
      </c>
      <c r="H33" s="5" t="s">
        <v>112</v>
      </c>
      <c r="I33" s="11" t="s">
        <v>64</v>
      </c>
      <c r="J33" s="5" t="s">
        <v>189</v>
      </c>
      <c r="K33" s="5" t="s">
        <v>190</v>
      </c>
    </row>
    <row r="34" customFormat="false" ht="15" hidden="false" customHeight="false" outlineLevel="0" collapsed="false">
      <c r="A34" s="5"/>
      <c r="B34" s="5" t="s">
        <v>191</v>
      </c>
      <c r="C34" s="5" t="s">
        <v>192</v>
      </c>
      <c r="D34" s="5" t="s">
        <v>193</v>
      </c>
      <c r="E34" s="5" t="n">
        <v>1</v>
      </c>
      <c r="F34" s="5" t="n">
        <v>4500</v>
      </c>
      <c r="G34" s="5" t="n">
        <v>4500</v>
      </c>
      <c r="H34" s="5" t="s">
        <v>83</v>
      </c>
      <c r="I34" s="11" t="s">
        <v>64</v>
      </c>
      <c r="J34" s="5" t="s">
        <v>194</v>
      </c>
      <c r="K34" s="5" t="s">
        <v>195</v>
      </c>
    </row>
    <row r="35" customFormat="false" ht="15" hidden="false" customHeight="false" outlineLevel="0" collapsed="false">
      <c r="A35" s="5"/>
      <c r="B35" s="5" t="s">
        <v>196</v>
      </c>
      <c r="C35" s="5" t="s">
        <v>197</v>
      </c>
      <c r="D35" s="5" t="s">
        <v>198</v>
      </c>
      <c r="E35" s="5" t="n">
        <v>1</v>
      </c>
      <c r="F35" s="5" t="n">
        <v>3500</v>
      </c>
      <c r="G35" s="5" t="n">
        <v>3500</v>
      </c>
      <c r="H35" s="5" t="s">
        <v>100</v>
      </c>
      <c r="I35" s="10" t="s">
        <v>77</v>
      </c>
      <c r="J35" s="5" t="s">
        <v>84</v>
      </c>
      <c r="K35" s="5" t="s">
        <v>199</v>
      </c>
    </row>
    <row r="36" customFormat="false" ht="15" hidden="false" customHeight="false" outlineLevel="0" collapsed="false">
      <c r="A36" s="5"/>
      <c r="B36" s="5" t="s">
        <v>200</v>
      </c>
      <c r="C36" s="5" t="s">
        <v>201</v>
      </c>
      <c r="D36" s="5" t="s">
        <v>202</v>
      </c>
      <c r="E36" s="5" t="n">
        <v>1</v>
      </c>
      <c r="F36" s="5" t="n">
        <v>1200</v>
      </c>
      <c r="G36" s="5" t="n">
        <v>1200</v>
      </c>
      <c r="H36" s="5" t="s">
        <v>83</v>
      </c>
      <c r="I36" s="11" t="s">
        <v>64</v>
      </c>
      <c r="J36" s="5" t="s">
        <v>203</v>
      </c>
      <c r="K36" s="5" t="s">
        <v>204</v>
      </c>
    </row>
    <row r="37" customFormat="false" ht="15" hidden="false" customHeight="false" outlineLevel="0" collapsed="false">
      <c r="A37" s="14" t="s">
        <v>205</v>
      </c>
      <c r="B37" s="14"/>
      <c r="C37" s="14"/>
      <c r="D37" s="14"/>
      <c r="E37" s="14"/>
      <c r="F37" s="14"/>
      <c r="G37" s="14" t="n">
        <v>15500</v>
      </c>
      <c r="H37" s="14"/>
      <c r="I37" s="14"/>
      <c r="J37" s="14"/>
      <c r="K37" s="14"/>
    </row>
    <row r="38" customFormat="false" ht="15" hidden="false" customHeight="false" outlineLevel="0" collapsed="false">
      <c r="A38" s="5"/>
      <c r="B38" s="5" t="s">
        <v>206</v>
      </c>
      <c r="C38" s="5" t="s">
        <v>207</v>
      </c>
      <c r="D38" s="5" t="s">
        <v>198</v>
      </c>
      <c r="E38" s="5" t="n">
        <v>1</v>
      </c>
      <c r="F38" s="5" t="n">
        <v>2500</v>
      </c>
      <c r="G38" s="5" t="n">
        <v>2500</v>
      </c>
      <c r="H38" s="5" t="s">
        <v>83</v>
      </c>
      <c r="I38" s="11" t="s">
        <v>64</v>
      </c>
      <c r="J38" s="5" t="s">
        <v>84</v>
      </c>
      <c r="K38" s="5" t="s">
        <v>208</v>
      </c>
    </row>
    <row r="39" customFormat="false" ht="15" hidden="false" customHeight="false" outlineLevel="0" collapsed="false">
      <c r="A39" s="5"/>
      <c r="B39" s="5" t="s">
        <v>209</v>
      </c>
      <c r="C39" s="5" t="s">
        <v>210</v>
      </c>
      <c r="D39" s="5" t="s">
        <v>198</v>
      </c>
      <c r="E39" s="5" t="n">
        <v>1</v>
      </c>
      <c r="F39" s="5" t="n">
        <v>5000</v>
      </c>
      <c r="G39" s="5" t="n">
        <v>5000</v>
      </c>
      <c r="H39" s="5" t="s">
        <v>100</v>
      </c>
      <c r="I39" s="11" t="s">
        <v>64</v>
      </c>
      <c r="J39" s="5" t="s">
        <v>84</v>
      </c>
      <c r="K39" s="5" t="s">
        <v>211</v>
      </c>
    </row>
    <row r="40" customFormat="false" ht="15" hidden="false" customHeight="false" outlineLevel="0" collapsed="false">
      <c r="A40" s="5"/>
      <c r="B40" s="5" t="s">
        <v>212</v>
      </c>
      <c r="C40" s="5" t="s">
        <v>213</v>
      </c>
      <c r="D40" s="5" t="s">
        <v>214</v>
      </c>
      <c r="E40" s="5" t="n">
        <v>1</v>
      </c>
      <c r="F40" s="5" t="n">
        <v>8000</v>
      </c>
      <c r="G40" s="5" t="n">
        <v>8000</v>
      </c>
      <c r="H40" s="5" t="s">
        <v>112</v>
      </c>
      <c r="I40" s="5" t="s">
        <v>84</v>
      </c>
      <c r="J40" s="5" t="s">
        <v>84</v>
      </c>
      <c r="K40" s="5" t="s">
        <v>215</v>
      </c>
    </row>
    <row r="41" customFormat="false" ht="15" hidden="false" customHeight="false" outlineLevel="0" collapsed="false">
      <c r="A41" s="7" t="s">
        <v>216</v>
      </c>
      <c r="B41" s="7"/>
      <c r="C41" s="7"/>
      <c r="D41" s="7"/>
      <c r="E41" s="7"/>
      <c r="F41" s="7"/>
      <c r="G41" s="7" t="n">
        <v>158880</v>
      </c>
      <c r="H41" s="7"/>
      <c r="I41" s="7"/>
      <c r="J41" s="7"/>
      <c r="K41" s="7"/>
    </row>
    <row r="42" customFormat="false" ht="15" hidden="false" customHeight="false" outlineLevel="0" collapsed="false">
      <c r="A42" s="7" t="s">
        <v>217</v>
      </c>
      <c r="B42" s="7"/>
      <c r="C42" s="7"/>
      <c r="D42" s="7"/>
      <c r="E42" s="7"/>
      <c r="F42" s="7"/>
      <c r="G42" s="7" t="n">
        <v>6120</v>
      </c>
      <c r="H42" s="7"/>
      <c r="I42" s="7"/>
      <c r="J42" s="7"/>
      <c r="K42" s="7"/>
    </row>
    <row r="43" customFormat="false" ht="15" hidden="false" customHeight="false" outlineLevel="0" collapsed="false">
      <c r="A43" s="7" t="s">
        <v>218</v>
      </c>
      <c r="B43" s="7"/>
      <c r="C43" s="7"/>
      <c r="D43" s="7"/>
      <c r="E43" s="7"/>
      <c r="F43" s="7"/>
      <c r="G43" s="7" t="n">
        <v>165000</v>
      </c>
      <c r="H43" s="7"/>
      <c r="I43" s="7"/>
      <c r="J43" s="7"/>
      <c r="K43" s="7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8" min="6" style="0" width="10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17.35" hidden="false" customHeight="false" outlineLevel="0" collapsed="false">
      <c r="A1" s="15" t="s">
        <v>219</v>
      </c>
    </row>
    <row r="3" customFormat="false" ht="28.35" hidden="false" customHeight="false" outlineLevel="0" collapsed="false">
      <c r="A3" s="4" t="s">
        <v>50</v>
      </c>
      <c r="B3" s="4" t="s">
        <v>51</v>
      </c>
      <c r="C3" s="4" t="s">
        <v>52</v>
      </c>
      <c r="D3" s="4" t="s">
        <v>53</v>
      </c>
      <c r="E3" s="4" t="s">
        <v>4</v>
      </c>
      <c r="F3" s="4" t="s">
        <v>54</v>
      </c>
      <c r="G3" s="4" t="s">
        <v>55</v>
      </c>
      <c r="H3" s="4" t="s">
        <v>56</v>
      </c>
      <c r="I3" s="4" t="s">
        <v>57</v>
      </c>
      <c r="J3" s="4" t="s">
        <v>58</v>
      </c>
      <c r="K3" s="4" t="s">
        <v>9</v>
      </c>
    </row>
    <row r="4" customFormat="false" ht="15" hidden="false" customHeight="false" outlineLevel="0" collapsed="false">
      <c r="A4" s="14" t="s">
        <v>220</v>
      </c>
      <c r="B4" s="14"/>
      <c r="C4" s="14"/>
      <c r="D4" s="14"/>
      <c r="E4" s="14"/>
      <c r="F4" s="14"/>
      <c r="G4" s="14" t="n">
        <v>39400</v>
      </c>
      <c r="H4" s="14"/>
      <c r="I4" s="14"/>
      <c r="J4" s="14"/>
      <c r="K4" s="14"/>
    </row>
    <row r="5" customFormat="false" ht="15" hidden="false" customHeight="false" outlineLevel="0" collapsed="false">
      <c r="A5" s="5"/>
      <c r="B5" s="5" t="s">
        <v>221</v>
      </c>
      <c r="C5" s="5" t="s">
        <v>222</v>
      </c>
      <c r="D5" s="5" t="s">
        <v>223</v>
      </c>
      <c r="E5" s="5" t="n">
        <v>1</v>
      </c>
      <c r="F5" s="5" t="n">
        <v>28000</v>
      </c>
      <c r="G5" s="5" t="n">
        <v>28000</v>
      </c>
      <c r="H5" s="5" t="s">
        <v>224</v>
      </c>
      <c r="I5" s="10" t="s">
        <v>77</v>
      </c>
      <c r="J5" s="5" t="s">
        <v>225</v>
      </c>
      <c r="K5" s="5" t="s">
        <v>226</v>
      </c>
    </row>
    <row r="6" customFormat="false" ht="15" hidden="false" customHeight="false" outlineLevel="0" collapsed="false">
      <c r="A6" s="5"/>
      <c r="B6" s="5" t="s">
        <v>227</v>
      </c>
      <c r="C6" s="5" t="s">
        <v>228</v>
      </c>
      <c r="D6" s="5" t="s">
        <v>111</v>
      </c>
      <c r="E6" s="5" t="n">
        <v>1</v>
      </c>
      <c r="F6" s="5" t="n">
        <v>4500</v>
      </c>
      <c r="G6" s="5" t="n">
        <v>4500</v>
      </c>
      <c r="H6" s="5" t="s">
        <v>100</v>
      </c>
      <c r="I6" s="11" t="s">
        <v>64</v>
      </c>
      <c r="J6" s="5" t="s">
        <v>84</v>
      </c>
      <c r="K6" s="5" t="s">
        <v>229</v>
      </c>
    </row>
    <row r="7" customFormat="false" ht="15" hidden="false" customHeight="false" outlineLevel="0" collapsed="false">
      <c r="A7" s="5"/>
      <c r="B7" s="5" t="s">
        <v>230</v>
      </c>
      <c r="C7" s="5" t="s">
        <v>231</v>
      </c>
      <c r="D7" s="5" t="s">
        <v>232</v>
      </c>
      <c r="E7" s="5" t="n">
        <v>1</v>
      </c>
      <c r="F7" s="5" t="n">
        <v>1200</v>
      </c>
      <c r="G7" s="5" t="n">
        <v>1200</v>
      </c>
      <c r="H7" s="5" t="s">
        <v>83</v>
      </c>
      <c r="I7" s="11" t="s">
        <v>64</v>
      </c>
      <c r="J7" s="5" t="s">
        <v>84</v>
      </c>
      <c r="K7" s="5" t="s">
        <v>233</v>
      </c>
    </row>
    <row r="8" customFormat="false" ht="15" hidden="false" customHeight="false" outlineLevel="0" collapsed="false">
      <c r="A8" s="5"/>
      <c r="B8" s="5" t="s">
        <v>234</v>
      </c>
      <c r="C8" s="5" t="s">
        <v>235</v>
      </c>
      <c r="D8" s="5" t="s">
        <v>236</v>
      </c>
      <c r="E8" s="5" t="n">
        <v>1</v>
      </c>
      <c r="F8" s="5" t="n">
        <v>3500</v>
      </c>
      <c r="G8" s="5" t="n">
        <v>3500</v>
      </c>
      <c r="H8" s="5" t="s">
        <v>76</v>
      </c>
      <c r="I8" s="10" t="s">
        <v>77</v>
      </c>
      <c r="J8" s="5" t="s">
        <v>84</v>
      </c>
      <c r="K8" s="5" t="s">
        <v>237</v>
      </c>
    </row>
    <row r="9" customFormat="false" ht="15" hidden="false" customHeight="false" outlineLevel="0" collapsed="false">
      <c r="A9" s="5"/>
      <c r="B9" s="5" t="s">
        <v>238</v>
      </c>
      <c r="C9" s="5" t="s">
        <v>239</v>
      </c>
      <c r="D9" s="5" t="s">
        <v>240</v>
      </c>
      <c r="E9" s="5" t="n">
        <v>1</v>
      </c>
      <c r="F9" s="5" t="n">
        <v>2200</v>
      </c>
      <c r="G9" s="5" t="n">
        <v>2200</v>
      </c>
      <c r="H9" s="5" t="s">
        <v>83</v>
      </c>
      <c r="I9" s="11" t="s">
        <v>64</v>
      </c>
      <c r="J9" s="5" t="s">
        <v>84</v>
      </c>
      <c r="K9" s="5" t="s">
        <v>241</v>
      </c>
    </row>
    <row r="10" customFormat="false" ht="15" hidden="false" customHeight="false" outlineLevel="0" collapsed="false">
      <c r="A10" s="14" t="s">
        <v>242</v>
      </c>
      <c r="B10" s="14"/>
      <c r="C10" s="14"/>
      <c r="D10" s="14"/>
      <c r="E10" s="14"/>
      <c r="F10" s="14"/>
      <c r="G10" s="14" t="n">
        <v>5930</v>
      </c>
      <c r="H10" s="14"/>
      <c r="I10" s="14"/>
      <c r="J10" s="14"/>
      <c r="K10" s="14"/>
    </row>
    <row r="11" customFormat="false" ht="15" hidden="false" customHeight="false" outlineLevel="0" collapsed="false">
      <c r="A11" s="5"/>
      <c r="B11" s="5" t="s">
        <v>243</v>
      </c>
      <c r="C11" s="5" t="s">
        <v>244</v>
      </c>
      <c r="D11" s="5" t="s">
        <v>245</v>
      </c>
      <c r="E11" s="5" t="n">
        <v>1</v>
      </c>
      <c r="F11" s="5" t="n">
        <v>180</v>
      </c>
      <c r="G11" s="5" t="n">
        <v>180</v>
      </c>
      <c r="H11" s="5" t="s">
        <v>63</v>
      </c>
      <c r="I11" s="11" t="s">
        <v>64</v>
      </c>
      <c r="J11" s="5" t="s">
        <v>246</v>
      </c>
      <c r="K11" s="5" t="s">
        <v>247</v>
      </c>
    </row>
    <row r="12" customFormat="false" ht="15" hidden="false" customHeight="false" outlineLevel="0" collapsed="false">
      <c r="A12" s="5"/>
      <c r="B12" s="5" t="s">
        <v>248</v>
      </c>
      <c r="C12" s="5" t="s">
        <v>249</v>
      </c>
      <c r="D12" s="5" t="s">
        <v>245</v>
      </c>
      <c r="E12" s="5" t="n">
        <v>1</v>
      </c>
      <c r="F12" s="5" t="n">
        <v>2800</v>
      </c>
      <c r="G12" s="5" t="n">
        <v>2800</v>
      </c>
      <c r="H12" s="5" t="s">
        <v>83</v>
      </c>
      <c r="I12" s="11" t="s">
        <v>64</v>
      </c>
      <c r="J12" s="5" t="s">
        <v>84</v>
      </c>
      <c r="K12" s="5" t="s">
        <v>250</v>
      </c>
    </row>
    <row r="13" customFormat="false" ht="15" hidden="false" customHeight="false" outlineLevel="0" collapsed="false">
      <c r="A13" s="5"/>
      <c r="B13" s="5" t="s">
        <v>251</v>
      </c>
      <c r="C13" s="5" t="s">
        <v>252</v>
      </c>
      <c r="D13" s="5" t="s">
        <v>126</v>
      </c>
      <c r="E13" s="5" t="n">
        <v>1</v>
      </c>
      <c r="F13" s="5" t="n">
        <v>2500</v>
      </c>
      <c r="G13" s="5" t="n">
        <v>2500</v>
      </c>
      <c r="H13" s="5" t="s">
        <v>83</v>
      </c>
      <c r="I13" s="11" t="s">
        <v>64</v>
      </c>
      <c r="J13" s="5" t="s">
        <v>253</v>
      </c>
      <c r="K13" s="5" t="s">
        <v>254</v>
      </c>
    </row>
    <row r="14" customFormat="false" ht="15" hidden="false" customHeight="false" outlineLevel="0" collapsed="false">
      <c r="A14" s="5"/>
      <c r="B14" s="5" t="s">
        <v>255</v>
      </c>
      <c r="C14" s="5" t="s">
        <v>256</v>
      </c>
      <c r="D14" s="5" t="s">
        <v>257</v>
      </c>
      <c r="E14" s="5" t="n">
        <v>1</v>
      </c>
      <c r="F14" s="5" t="n">
        <v>450</v>
      </c>
      <c r="G14" s="5" t="n">
        <v>450</v>
      </c>
      <c r="H14" s="5" t="s">
        <v>70</v>
      </c>
      <c r="I14" s="11" t="s">
        <v>64</v>
      </c>
      <c r="J14" s="5" t="s">
        <v>258</v>
      </c>
      <c r="K14" s="5" t="s">
        <v>259</v>
      </c>
    </row>
    <row r="15" customFormat="false" ht="15" hidden="false" customHeight="false" outlineLevel="0" collapsed="false">
      <c r="A15" s="14" t="s">
        <v>260</v>
      </c>
      <c r="B15" s="14"/>
      <c r="C15" s="14"/>
      <c r="D15" s="14"/>
      <c r="E15" s="14"/>
      <c r="F15" s="14"/>
      <c r="G15" s="14" t="n">
        <v>16150</v>
      </c>
      <c r="H15" s="14"/>
      <c r="I15" s="14"/>
      <c r="J15" s="14"/>
      <c r="K15" s="14"/>
    </row>
    <row r="16" customFormat="false" ht="15" hidden="false" customHeight="false" outlineLevel="0" collapsed="false">
      <c r="A16" s="5"/>
      <c r="B16" s="5" t="s">
        <v>261</v>
      </c>
      <c r="C16" s="5" t="s">
        <v>262</v>
      </c>
      <c r="D16" s="5" t="s">
        <v>263</v>
      </c>
      <c r="E16" s="5" t="n">
        <v>1</v>
      </c>
      <c r="F16" s="5" t="n">
        <v>4500</v>
      </c>
      <c r="G16" s="5" t="n">
        <v>4500</v>
      </c>
      <c r="H16" s="5" t="s">
        <v>100</v>
      </c>
      <c r="I16" s="11" t="s">
        <v>64</v>
      </c>
      <c r="J16" s="5" t="s">
        <v>264</v>
      </c>
      <c r="K16" s="5" t="s">
        <v>265</v>
      </c>
    </row>
    <row r="17" customFormat="false" ht="15" hidden="false" customHeight="false" outlineLevel="0" collapsed="false">
      <c r="A17" s="5"/>
      <c r="B17" s="5" t="s">
        <v>266</v>
      </c>
      <c r="C17" s="5" t="s">
        <v>267</v>
      </c>
      <c r="D17" s="5" t="s">
        <v>268</v>
      </c>
      <c r="E17" s="5" t="n">
        <v>1</v>
      </c>
      <c r="F17" s="5" t="n">
        <v>1800</v>
      </c>
      <c r="G17" s="5" t="n">
        <v>1800</v>
      </c>
      <c r="H17" s="5" t="s">
        <v>83</v>
      </c>
      <c r="I17" s="11" t="s">
        <v>64</v>
      </c>
      <c r="J17" s="5" t="s">
        <v>269</v>
      </c>
      <c r="K17" s="5" t="s">
        <v>270</v>
      </c>
    </row>
    <row r="18" customFormat="false" ht="15" hidden="false" customHeight="false" outlineLevel="0" collapsed="false">
      <c r="A18" s="5"/>
      <c r="B18" s="5" t="s">
        <v>271</v>
      </c>
      <c r="C18" s="5" t="s">
        <v>272</v>
      </c>
      <c r="D18" s="5" t="s">
        <v>273</v>
      </c>
      <c r="E18" s="5" t="n">
        <v>1</v>
      </c>
      <c r="F18" s="5" t="n">
        <v>8500</v>
      </c>
      <c r="G18" s="5" t="n">
        <v>8500</v>
      </c>
      <c r="H18" s="5" t="s">
        <v>70</v>
      </c>
      <c r="I18" s="11" t="s">
        <v>64</v>
      </c>
      <c r="J18" s="5" t="s">
        <v>274</v>
      </c>
      <c r="K18" s="5" t="s">
        <v>275</v>
      </c>
    </row>
    <row r="19" customFormat="false" ht="15" hidden="false" customHeight="false" outlineLevel="0" collapsed="false">
      <c r="A19" s="5"/>
      <c r="B19" s="5" t="s">
        <v>276</v>
      </c>
      <c r="C19" s="5" t="s">
        <v>277</v>
      </c>
      <c r="D19" s="5" t="s">
        <v>278</v>
      </c>
      <c r="E19" s="5" t="n">
        <v>30</v>
      </c>
      <c r="F19" s="5" t="n">
        <v>45</v>
      </c>
      <c r="G19" s="5" t="n">
        <v>1350</v>
      </c>
      <c r="H19" s="5" t="s">
        <v>112</v>
      </c>
      <c r="I19" s="11" t="s">
        <v>64</v>
      </c>
      <c r="J19" s="5" t="s">
        <v>279</v>
      </c>
      <c r="K19" s="5" t="s">
        <v>280</v>
      </c>
    </row>
    <row r="20" customFormat="false" ht="15" hidden="false" customHeight="false" outlineLevel="0" collapsed="false">
      <c r="A20" s="14" t="s">
        <v>281</v>
      </c>
      <c r="B20" s="14"/>
      <c r="C20" s="14"/>
      <c r="D20" s="14"/>
      <c r="E20" s="14"/>
      <c r="F20" s="14"/>
      <c r="G20" s="14" t="n">
        <v>14800</v>
      </c>
      <c r="H20" s="14"/>
      <c r="I20" s="14"/>
      <c r="J20" s="14"/>
      <c r="K20" s="14"/>
    </row>
    <row r="21" customFormat="false" ht="15" hidden="false" customHeight="false" outlineLevel="0" collapsed="false">
      <c r="A21" s="5"/>
      <c r="B21" s="5" t="s">
        <v>282</v>
      </c>
      <c r="C21" s="5" t="s">
        <v>283</v>
      </c>
      <c r="D21" s="5" t="s">
        <v>164</v>
      </c>
      <c r="E21" s="5" t="n">
        <v>1</v>
      </c>
      <c r="F21" s="5" t="n">
        <v>5500</v>
      </c>
      <c r="G21" s="5" t="n">
        <v>5500</v>
      </c>
      <c r="H21" s="5" t="s">
        <v>100</v>
      </c>
      <c r="I21" s="11" t="s">
        <v>64</v>
      </c>
      <c r="J21" s="5" t="s">
        <v>84</v>
      </c>
      <c r="K21" s="5" t="s">
        <v>284</v>
      </c>
    </row>
    <row r="22" customFormat="false" ht="15" hidden="false" customHeight="false" outlineLevel="0" collapsed="false">
      <c r="A22" s="5"/>
      <c r="B22" s="5" t="s">
        <v>285</v>
      </c>
      <c r="C22" s="5" t="s">
        <v>286</v>
      </c>
      <c r="D22" s="5" t="s">
        <v>287</v>
      </c>
      <c r="E22" s="5" t="n">
        <v>1</v>
      </c>
      <c r="F22" s="5" t="n">
        <v>2800</v>
      </c>
      <c r="G22" s="5" t="n">
        <v>2800</v>
      </c>
      <c r="H22" s="5" t="s">
        <v>76</v>
      </c>
      <c r="I22" s="11" t="s">
        <v>64</v>
      </c>
      <c r="J22" s="5" t="s">
        <v>288</v>
      </c>
      <c r="K22" s="5" t="s">
        <v>289</v>
      </c>
    </row>
    <row r="23" customFormat="false" ht="15" hidden="false" customHeight="false" outlineLevel="0" collapsed="false">
      <c r="A23" s="5"/>
      <c r="B23" s="5" t="s">
        <v>290</v>
      </c>
      <c r="C23" s="5" t="s">
        <v>291</v>
      </c>
      <c r="D23" s="5" t="s">
        <v>292</v>
      </c>
      <c r="E23" s="5" t="n">
        <v>1</v>
      </c>
      <c r="F23" s="5" t="n">
        <v>6500</v>
      </c>
      <c r="G23" s="5" t="n">
        <v>6500</v>
      </c>
      <c r="H23" s="5" t="s">
        <v>83</v>
      </c>
      <c r="I23" s="11" t="s">
        <v>64</v>
      </c>
      <c r="J23" s="5" t="s">
        <v>84</v>
      </c>
      <c r="K23" s="5" t="s">
        <v>293</v>
      </c>
    </row>
    <row r="24" customFormat="false" ht="15" hidden="false" customHeight="false" outlineLevel="0" collapsed="false">
      <c r="A24" s="14" t="s">
        <v>294</v>
      </c>
      <c r="B24" s="14"/>
      <c r="C24" s="14"/>
      <c r="D24" s="14"/>
      <c r="E24" s="14"/>
      <c r="F24" s="14"/>
      <c r="G24" s="14" t="n">
        <v>24500</v>
      </c>
      <c r="H24" s="14"/>
      <c r="I24" s="14"/>
      <c r="J24" s="14"/>
      <c r="K24" s="14"/>
    </row>
    <row r="25" customFormat="false" ht="15" hidden="false" customHeight="false" outlineLevel="0" collapsed="false">
      <c r="A25" s="5"/>
      <c r="B25" s="5" t="s">
        <v>295</v>
      </c>
      <c r="C25" s="5" t="s">
        <v>296</v>
      </c>
      <c r="D25" s="5" t="s">
        <v>297</v>
      </c>
      <c r="E25" s="5" t="n">
        <v>2</v>
      </c>
      <c r="F25" s="5" t="n">
        <v>4500</v>
      </c>
      <c r="G25" s="5" t="n">
        <v>9000</v>
      </c>
      <c r="H25" s="5" t="s">
        <v>70</v>
      </c>
      <c r="I25" s="11" t="s">
        <v>64</v>
      </c>
      <c r="J25" s="5" t="s">
        <v>84</v>
      </c>
      <c r="K25" s="5" t="s">
        <v>298</v>
      </c>
    </row>
    <row r="26" customFormat="false" ht="15" hidden="false" customHeight="false" outlineLevel="0" collapsed="false">
      <c r="A26" s="5"/>
      <c r="B26" s="5" t="s">
        <v>299</v>
      </c>
      <c r="C26" s="5" t="s">
        <v>300</v>
      </c>
      <c r="D26" s="5" t="s">
        <v>301</v>
      </c>
      <c r="E26" s="5" t="n">
        <v>1</v>
      </c>
      <c r="F26" s="5" t="n">
        <v>3500</v>
      </c>
      <c r="G26" s="5" t="n">
        <v>3500</v>
      </c>
      <c r="H26" s="5" t="s">
        <v>100</v>
      </c>
      <c r="I26" s="11" t="s">
        <v>64</v>
      </c>
      <c r="J26" s="5" t="s">
        <v>84</v>
      </c>
      <c r="K26" s="5" t="s">
        <v>302</v>
      </c>
    </row>
    <row r="27" customFormat="false" ht="15" hidden="false" customHeight="false" outlineLevel="0" collapsed="false">
      <c r="A27" s="5"/>
      <c r="B27" s="5" t="s">
        <v>303</v>
      </c>
      <c r="C27" s="5" t="s">
        <v>304</v>
      </c>
      <c r="D27" s="5" t="s">
        <v>305</v>
      </c>
      <c r="E27" s="5" t="n">
        <v>1</v>
      </c>
      <c r="F27" s="5" t="n">
        <v>12000</v>
      </c>
      <c r="G27" s="5" t="n">
        <v>12000</v>
      </c>
      <c r="H27" s="5" t="s">
        <v>70</v>
      </c>
      <c r="I27" s="11" t="s">
        <v>64</v>
      </c>
      <c r="J27" s="5" t="s">
        <v>306</v>
      </c>
      <c r="K27" s="5" t="s">
        <v>307</v>
      </c>
    </row>
    <row r="28" customFormat="false" ht="15" hidden="false" customHeight="false" outlineLevel="0" collapsed="false">
      <c r="A28" s="14" t="s">
        <v>308</v>
      </c>
      <c r="B28" s="14"/>
      <c r="C28" s="14"/>
      <c r="D28" s="14"/>
      <c r="E28" s="14"/>
      <c r="F28" s="14"/>
      <c r="G28" s="14" t="n">
        <v>13000</v>
      </c>
      <c r="H28" s="14"/>
      <c r="I28" s="14"/>
      <c r="J28" s="14"/>
      <c r="K28" s="14"/>
    </row>
    <row r="29" customFormat="false" ht="15" hidden="false" customHeight="false" outlineLevel="0" collapsed="false">
      <c r="A29" s="5"/>
      <c r="B29" s="5" t="s">
        <v>309</v>
      </c>
      <c r="C29" s="5" t="s">
        <v>310</v>
      </c>
      <c r="D29" s="5" t="s">
        <v>198</v>
      </c>
      <c r="E29" s="5" t="n">
        <v>1</v>
      </c>
      <c r="F29" s="5" t="n">
        <v>8500</v>
      </c>
      <c r="G29" s="5" t="n">
        <v>8500</v>
      </c>
      <c r="H29" s="5" t="s">
        <v>311</v>
      </c>
      <c r="I29" s="11" t="s">
        <v>64</v>
      </c>
      <c r="J29" s="5" t="s">
        <v>84</v>
      </c>
      <c r="K29" s="5" t="s">
        <v>312</v>
      </c>
    </row>
    <row r="30" customFormat="false" ht="15" hidden="false" customHeight="false" outlineLevel="0" collapsed="false">
      <c r="A30" s="5"/>
      <c r="B30" s="5" t="s">
        <v>313</v>
      </c>
      <c r="C30" s="5" t="s">
        <v>314</v>
      </c>
      <c r="D30" s="5" t="s">
        <v>315</v>
      </c>
      <c r="E30" s="5" t="n">
        <v>1</v>
      </c>
      <c r="F30" s="5" t="n">
        <v>4500</v>
      </c>
      <c r="G30" s="5" t="n">
        <v>4500</v>
      </c>
      <c r="H30" s="5" t="s">
        <v>100</v>
      </c>
      <c r="I30" s="11" t="s">
        <v>64</v>
      </c>
      <c r="J30" s="5" t="s">
        <v>84</v>
      </c>
      <c r="K30" s="5" t="s">
        <v>316</v>
      </c>
    </row>
    <row r="31" customFormat="false" ht="15" hidden="false" customHeight="false" outlineLevel="0" collapsed="false">
      <c r="A31" s="7" t="s">
        <v>317</v>
      </c>
      <c r="B31" s="7"/>
      <c r="C31" s="7"/>
      <c r="D31" s="7"/>
      <c r="E31" s="7"/>
      <c r="F31" s="7"/>
      <c r="G31" s="7" t="n">
        <v>85000</v>
      </c>
      <c r="H31" s="7"/>
      <c r="I31" s="7"/>
      <c r="J31" s="7"/>
      <c r="K3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5" t="s">
        <v>318</v>
      </c>
    </row>
    <row r="3" customFormat="false" ht="15" hidden="false" customHeight="false" outlineLevel="0" collapsed="false">
      <c r="A3" s="9" t="s">
        <v>319</v>
      </c>
      <c r="B3" s="9" t="s">
        <v>320</v>
      </c>
      <c r="C3" s="9" t="s">
        <v>321</v>
      </c>
      <c r="D3" s="9" t="s">
        <v>322</v>
      </c>
      <c r="E3" s="9" t="s">
        <v>323</v>
      </c>
      <c r="F3" s="9" t="s">
        <v>324</v>
      </c>
      <c r="G3" s="9" t="s">
        <v>9</v>
      </c>
    </row>
    <row r="4" customFormat="false" ht="15" hidden="false" customHeight="false" outlineLevel="0" collapsed="false">
      <c r="A4" s="5" t="s">
        <v>325</v>
      </c>
      <c r="B4" s="5" t="n">
        <v>71600</v>
      </c>
      <c r="C4" s="5" t="n">
        <v>64000</v>
      </c>
      <c r="D4" s="5" t="n">
        <v>54000</v>
      </c>
      <c r="E4" s="5" t="n">
        <v>47000</v>
      </c>
      <c r="F4" s="5" t="s">
        <v>326</v>
      </c>
      <c r="G4" s="5" t="s">
        <v>327</v>
      </c>
    </row>
    <row r="5" customFormat="false" ht="15" hidden="false" customHeight="false" outlineLevel="0" collapsed="false">
      <c r="A5" s="5" t="s">
        <v>328</v>
      </c>
      <c r="B5" s="5" t="n">
        <v>20760</v>
      </c>
      <c r="C5" s="5" t="n">
        <v>16000</v>
      </c>
      <c r="D5" s="5" t="n">
        <v>11000</v>
      </c>
      <c r="E5" s="5" t="n">
        <v>8000</v>
      </c>
      <c r="F5" s="5" t="s">
        <v>329</v>
      </c>
      <c r="G5" s="5" t="s">
        <v>330</v>
      </c>
    </row>
    <row r="6" customFormat="false" ht="15" hidden="false" customHeight="false" outlineLevel="0" collapsed="false">
      <c r="A6" s="5" t="s">
        <v>331</v>
      </c>
      <c r="B6" s="5" t="n">
        <v>21580</v>
      </c>
      <c r="C6" s="5" t="n">
        <v>18000</v>
      </c>
      <c r="D6" s="5" t="n">
        <v>14500</v>
      </c>
      <c r="E6" s="5" t="n">
        <v>12000</v>
      </c>
      <c r="F6" s="5" t="s">
        <v>332</v>
      </c>
      <c r="G6" s="5" t="s">
        <v>333</v>
      </c>
    </row>
    <row r="7" customFormat="false" ht="15" hidden="false" customHeight="false" outlineLevel="0" collapsed="false">
      <c r="A7" s="5" t="s">
        <v>334</v>
      </c>
      <c r="B7" s="5" t="n">
        <v>3050</v>
      </c>
      <c r="C7" s="5" t="n">
        <v>2700</v>
      </c>
      <c r="D7" s="5" t="n">
        <v>2300</v>
      </c>
      <c r="E7" s="5" t="n">
        <v>1950</v>
      </c>
      <c r="F7" s="5" t="s">
        <v>335</v>
      </c>
      <c r="G7" s="5" t="s">
        <v>336</v>
      </c>
    </row>
    <row r="8" customFormat="false" ht="15" hidden="false" customHeight="false" outlineLevel="0" collapsed="false">
      <c r="A8" s="5" t="s">
        <v>337</v>
      </c>
      <c r="B8" s="5" t="n">
        <v>11340</v>
      </c>
      <c r="C8" s="5" t="n">
        <v>10200</v>
      </c>
      <c r="D8" s="5" t="n">
        <v>8900</v>
      </c>
      <c r="E8" s="5" t="n">
        <v>7700</v>
      </c>
      <c r="F8" s="5" t="s">
        <v>338</v>
      </c>
      <c r="G8" s="5" t="s">
        <v>339</v>
      </c>
    </row>
    <row r="9" customFormat="false" ht="15" hidden="false" customHeight="false" outlineLevel="0" collapsed="false">
      <c r="A9" s="5" t="s">
        <v>340</v>
      </c>
      <c r="B9" s="5" t="n">
        <v>15050</v>
      </c>
      <c r="C9" s="5" t="n">
        <v>12300</v>
      </c>
      <c r="D9" s="5" t="n">
        <v>9600</v>
      </c>
      <c r="E9" s="5" t="n">
        <v>7700</v>
      </c>
      <c r="F9" s="5" t="s">
        <v>341</v>
      </c>
      <c r="G9" s="5" t="s">
        <v>342</v>
      </c>
    </row>
    <row r="10" customFormat="false" ht="15" hidden="false" customHeight="false" outlineLevel="0" collapsed="false">
      <c r="A10" s="5" t="s">
        <v>343</v>
      </c>
      <c r="B10" s="5" t="n">
        <v>15500</v>
      </c>
      <c r="C10" s="5" t="n">
        <v>12000</v>
      </c>
      <c r="D10" s="5" t="n">
        <v>8000</v>
      </c>
      <c r="E10" s="5" t="n">
        <v>5500</v>
      </c>
      <c r="F10" s="5" t="s">
        <v>344</v>
      </c>
      <c r="G10" s="5" t="s">
        <v>345</v>
      </c>
    </row>
    <row r="11" customFormat="false" ht="15" hidden="false" customHeight="false" outlineLevel="0" collapsed="false">
      <c r="A11" s="5" t="s">
        <v>346</v>
      </c>
      <c r="B11" s="5" t="n">
        <v>6120</v>
      </c>
      <c r="C11" s="5" t="n">
        <v>4800</v>
      </c>
      <c r="D11" s="5" t="n">
        <v>3700</v>
      </c>
      <c r="E11" s="5" t="n">
        <v>3150</v>
      </c>
      <c r="F11" s="5"/>
      <c r="G11" s="5"/>
    </row>
    <row r="12" customFormat="false" ht="15" hidden="false" customHeight="false" outlineLevel="0" collapsed="false">
      <c r="A12" s="14" t="s">
        <v>347</v>
      </c>
      <c r="B12" s="14" t="n">
        <v>165000</v>
      </c>
      <c r="C12" s="14" t="n">
        <v>140000</v>
      </c>
      <c r="D12" s="14" t="n">
        <v>112000</v>
      </c>
      <c r="E12" s="14" t="n">
        <v>93000</v>
      </c>
      <c r="F12" s="14" t="s">
        <v>332</v>
      </c>
      <c r="G12" s="14"/>
    </row>
    <row r="14" customFormat="false" ht="15" hidden="false" customHeight="false" outlineLevel="0" collapsed="false">
      <c r="A14" s="5" t="s">
        <v>348</v>
      </c>
      <c r="B14" s="5" t="n">
        <v>85000</v>
      </c>
      <c r="C14" s="5" t="n">
        <v>72000</v>
      </c>
      <c r="D14" s="5" t="n">
        <v>58000</v>
      </c>
      <c r="E14" s="5" t="n">
        <v>48000</v>
      </c>
      <c r="F14" s="5" t="s">
        <v>332</v>
      </c>
      <c r="G14" s="5" t="s">
        <v>349</v>
      </c>
    </row>
    <row r="15" customFormat="false" ht="15" hidden="false" customHeight="false" outlineLevel="0" collapsed="false">
      <c r="A15" s="5" t="s">
        <v>350</v>
      </c>
      <c r="B15" s="5" t="n">
        <v>120000</v>
      </c>
      <c r="C15" s="5" t="n">
        <v>60000</v>
      </c>
      <c r="D15" s="5" t="n">
        <v>30000</v>
      </c>
      <c r="E15" s="5" t="n">
        <v>18000</v>
      </c>
      <c r="F15" s="5" t="s">
        <v>351</v>
      </c>
      <c r="G15" s="5" t="s">
        <v>352</v>
      </c>
    </row>
    <row r="17" customFormat="false" ht="15" hidden="false" customHeight="false" outlineLevel="0" collapsed="false">
      <c r="A17" s="7" t="s">
        <v>353</v>
      </c>
      <c r="B17" s="7" t="n">
        <v>865000</v>
      </c>
      <c r="C17" s="7" t="n">
        <v>692000</v>
      </c>
      <c r="D17" s="7" t="n">
        <v>538000</v>
      </c>
      <c r="E17" s="7" t="n">
        <v>438000</v>
      </c>
      <c r="F17" s="7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7.35" hidden="false" customHeight="false" outlineLevel="0" collapsed="false">
      <c r="A1" s="15" t="s">
        <v>354</v>
      </c>
    </row>
    <row r="3" customFormat="false" ht="15" hidden="false" customHeight="false" outlineLevel="0" collapsed="false">
      <c r="A3" s="9" t="s">
        <v>355</v>
      </c>
      <c r="B3" s="9" t="s">
        <v>57</v>
      </c>
      <c r="C3" s="9" t="s">
        <v>356</v>
      </c>
      <c r="D3" s="9" t="s">
        <v>56</v>
      </c>
      <c r="E3" s="9" t="s">
        <v>357</v>
      </c>
      <c r="F3" s="9" t="s">
        <v>358</v>
      </c>
      <c r="G3" s="9" t="s">
        <v>359</v>
      </c>
      <c r="H3" s="9" t="s">
        <v>58</v>
      </c>
      <c r="I3" s="9" t="s">
        <v>360</v>
      </c>
    </row>
    <row r="4" customFormat="false" ht="15" hidden="false" customHeight="false" outlineLevel="0" collapsed="false">
      <c r="A4" s="5" t="s">
        <v>361</v>
      </c>
      <c r="B4" s="11" t="s">
        <v>64</v>
      </c>
      <c r="C4" s="5" t="s">
        <v>362</v>
      </c>
      <c r="D4" s="10" t="s">
        <v>77</v>
      </c>
      <c r="E4" s="11" t="s">
        <v>64</v>
      </c>
      <c r="F4" s="10" t="s">
        <v>363</v>
      </c>
      <c r="G4" s="5" t="s">
        <v>364</v>
      </c>
      <c r="H4" s="5" t="s">
        <v>365</v>
      </c>
      <c r="I4" s="5" t="s">
        <v>366</v>
      </c>
    </row>
    <row r="5" customFormat="false" ht="15" hidden="false" customHeight="false" outlineLevel="0" collapsed="false">
      <c r="A5" s="5" t="s">
        <v>367</v>
      </c>
      <c r="B5" s="11" t="s">
        <v>64</v>
      </c>
      <c r="C5" s="5" t="s">
        <v>362</v>
      </c>
      <c r="D5" s="10" t="s">
        <v>77</v>
      </c>
      <c r="E5" s="11" t="s">
        <v>64</v>
      </c>
      <c r="F5" s="10" t="s">
        <v>363</v>
      </c>
      <c r="G5" s="5" t="s">
        <v>368</v>
      </c>
      <c r="H5" s="5" t="s">
        <v>365</v>
      </c>
      <c r="I5" s="5" t="s">
        <v>366</v>
      </c>
    </row>
    <row r="6" customFormat="false" ht="15" hidden="false" customHeight="false" outlineLevel="0" collapsed="false">
      <c r="A6" s="5" t="s">
        <v>74</v>
      </c>
      <c r="B6" s="10" t="s">
        <v>77</v>
      </c>
      <c r="C6" s="5" t="s">
        <v>365</v>
      </c>
      <c r="D6" s="10" t="s">
        <v>77</v>
      </c>
      <c r="E6" s="11" t="s">
        <v>64</v>
      </c>
      <c r="F6" s="12" t="s">
        <v>106</v>
      </c>
      <c r="G6" s="5" t="s">
        <v>369</v>
      </c>
      <c r="H6" s="5" t="s">
        <v>370</v>
      </c>
      <c r="I6" s="5" t="s">
        <v>371</v>
      </c>
    </row>
    <row r="7" customFormat="false" ht="15" hidden="false" customHeight="false" outlineLevel="0" collapsed="false">
      <c r="A7" s="5" t="s">
        <v>372</v>
      </c>
      <c r="B7" s="10" t="s">
        <v>77</v>
      </c>
      <c r="C7" s="5" t="s">
        <v>365</v>
      </c>
      <c r="D7" s="12" t="s">
        <v>106</v>
      </c>
      <c r="E7" s="10" t="s">
        <v>77</v>
      </c>
      <c r="F7" s="12" t="s">
        <v>106</v>
      </c>
      <c r="G7" s="5" t="s">
        <v>373</v>
      </c>
      <c r="H7" s="5" t="s">
        <v>370</v>
      </c>
      <c r="I7" s="5" t="s">
        <v>371</v>
      </c>
    </row>
    <row r="8" customFormat="false" ht="15" hidden="false" customHeight="false" outlineLevel="0" collapsed="false">
      <c r="A8" s="5" t="s">
        <v>328</v>
      </c>
      <c r="B8" s="12" t="s">
        <v>106</v>
      </c>
      <c r="C8" s="5" t="s">
        <v>365</v>
      </c>
      <c r="D8" s="12" t="s">
        <v>106</v>
      </c>
      <c r="E8" s="11" t="s">
        <v>64</v>
      </c>
      <c r="F8" s="16" t="s">
        <v>374</v>
      </c>
      <c r="G8" s="5" t="s">
        <v>375</v>
      </c>
      <c r="H8" s="5" t="s">
        <v>370</v>
      </c>
      <c r="I8" s="5" t="s">
        <v>371</v>
      </c>
    </row>
    <row r="9" customFormat="false" ht="15" hidden="false" customHeight="false" outlineLevel="0" collapsed="false">
      <c r="A9" s="5" t="s">
        <v>376</v>
      </c>
      <c r="B9" s="11" t="s">
        <v>64</v>
      </c>
      <c r="C9" s="5" t="s">
        <v>365</v>
      </c>
      <c r="D9" s="12" t="s">
        <v>106</v>
      </c>
      <c r="E9" s="11" t="s">
        <v>64</v>
      </c>
      <c r="F9" s="10" t="s">
        <v>363</v>
      </c>
      <c r="G9" s="5" t="s">
        <v>377</v>
      </c>
      <c r="H9" s="5" t="s">
        <v>365</v>
      </c>
      <c r="I9" s="5" t="s">
        <v>366</v>
      </c>
    </row>
    <row r="10" customFormat="false" ht="15" hidden="false" customHeight="false" outlineLevel="0" collapsed="false">
      <c r="A10" s="5" t="s">
        <v>378</v>
      </c>
      <c r="B10" s="11" t="s">
        <v>64</v>
      </c>
      <c r="C10" s="5" t="s">
        <v>362</v>
      </c>
      <c r="D10" s="10" t="s">
        <v>77</v>
      </c>
      <c r="E10" s="11" t="s">
        <v>64</v>
      </c>
      <c r="F10" s="11" t="s">
        <v>64</v>
      </c>
      <c r="G10" s="5" t="s">
        <v>379</v>
      </c>
      <c r="H10" s="5" t="s">
        <v>365</v>
      </c>
      <c r="I10" s="5" t="s">
        <v>380</v>
      </c>
    </row>
    <row r="11" customFormat="false" ht="15" hidden="false" customHeight="false" outlineLevel="0" collapsed="false">
      <c r="A11" s="5" t="s">
        <v>381</v>
      </c>
      <c r="B11" s="10" t="s">
        <v>77</v>
      </c>
      <c r="C11" s="5" t="s">
        <v>362</v>
      </c>
      <c r="D11" s="12" t="s">
        <v>106</v>
      </c>
      <c r="E11" s="10" t="s">
        <v>77</v>
      </c>
      <c r="F11" s="10" t="s">
        <v>363</v>
      </c>
      <c r="G11" s="5" t="s">
        <v>382</v>
      </c>
      <c r="H11" s="5" t="s">
        <v>365</v>
      </c>
      <c r="I11" s="5" t="s">
        <v>366</v>
      </c>
    </row>
    <row r="12" customFormat="false" ht="15" hidden="false" customHeight="false" outlineLevel="0" collapsed="false">
      <c r="A12" s="5" t="s">
        <v>383</v>
      </c>
      <c r="B12" s="11" t="s">
        <v>64</v>
      </c>
      <c r="C12" s="5" t="s">
        <v>365</v>
      </c>
      <c r="D12" s="10" t="s">
        <v>77</v>
      </c>
      <c r="E12" s="10" t="s">
        <v>77</v>
      </c>
      <c r="F12" s="11" t="s">
        <v>64</v>
      </c>
      <c r="G12" s="5" t="s">
        <v>384</v>
      </c>
      <c r="H12" s="5" t="s">
        <v>365</v>
      </c>
      <c r="I12" s="5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5" t="s">
        <v>385</v>
      </c>
    </row>
    <row r="3" customFormat="false" ht="15" hidden="false" customHeight="false" outlineLevel="0" collapsed="false">
      <c r="A3" s="9" t="s">
        <v>386</v>
      </c>
      <c r="B3" s="9" t="s">
        <v>50</v>
      </c>
      <c r="C3" s="9" t="s">
        <v>387</v>
      </c>
      <c r="D3" s="9" t="s">
        <v>388</v>
      </c>
      <c r="E3" s="9" t="s">
        <v>389</v>
      </c>
      <c r="F3" s="9" t="s">
        <v>390</v>
      </c>
      <c r="G3" s="9" t="s">
        <v>391</v>
      </c>
      <c r="H3" s="9" t="s">
        <v>9</v>
      </c>
    </row>
    <row r="4" customFormat="false" ht="15" hidden="false" customHeight="false" outlineLevel="0" collapsed="false">
      <c r="A4" s="5" t="s">
        <v>62</v>
      </c>
      <c r="B4" s="5" t="s">
        <v>392</v>
      </c>
      <c r="C4" s="5" t="s">
        <v>393</v>
      </c>
      <c r="D4" s="5" t="s">
        <v>394</v>
      </c>
      <c r="E4" s="5" t="s">
        <v>395</v>
      </c>
      <c r="F4" s="5" t="s">
        <v>396</v>
      </c>
      <c r="G4" s="5" t="s">
        <v>63</v>
      </c>
      <c r="H4" s="5" t="s">
        <v>397</v>
      </c>
    </row>
    <row r="5" customFormat="false" ht="15" hidden="false" customHeight="false" outlineLevel="0" collapsed="false">
      <c r="A5" s="5" t="s">
        <v>69</v>
      </c>
      <c r="B5" s="5" t="s">
        <v>392</v>
      </c>
      <c r="C5" s="5" t="s">
        <v>398</v>
      </c>
      <c r="D5" s="5" t="s">
        <v>399</v>
      </c>
      <c r="E5" s="5" t="s">
        <v>395</v>
      </c>
      <c r="F5" s="5" t="s">
        <v>400</v>
      </c>
      <c r="G5" s="5" t="s">
        <v>70</v>
      </c>
      <c r="H5" s="5" t="s">
        <v>401</v>
      </c>
    </row>
    <row r="6" customFormat="false" ht="15" hidden="false" customHeight="false" outlineLevel="0" collapsed="false">
      <c r="A6" s="5" t="s">
        <v>402</v>
      </c>
      <c r="B6" s="5" t="s">
        <v>403</v>
      </c>
      <c r="C6" s="5" t="s">
        <v>404</v>
      </c>
      <c r="D6" s="5" t="s">
        <v>405</v>
      </c>
      <c r="E6" s="5" t="s">
        <v>395</v>
      </c>
      <c r="F6" s="5" t="s">
        <v>406</v>
      </c>
      <c r="G6" s="5" t="s">
        <v>311</v>
      </c>
      <c r="H6" s="5" t="s">
        <v>407</v>
      </c>
    </row>
    <row r="7" customFormat="false" ht="15" hidden="false" customHeight="false" outlineLevel="0" collapsed="false">
      <c r="A7" s="5" t="s">
        <v>126</v>
      </c>
      <c r="B7" s="5" t="s">
        <v>408</v>
      </c>
      <c r="C7" s="5" t="s">
        <v>409</v>
      </c>
      <c r="D7" s="5" t="s">
        <v>410</v>
      </c>
      <c r="E7" s="5" t="s">
        <v>411</v>
      </c>
      <c r="F7" s="5" t="s">
        <v>412</v>
      </c>
      <c r="G7" s="5" t="s">
        <v>127</v>
      </c>
      <c r="H7" s="5" t="s">
        <v>413</v>
      </c>
    </row>
    <row r="8" customFormat="false" ht="15" hidden="false" customHeight="false" outlineLevel="0" collapsed="false">
      <c r="A8" s="5" t="s">
        <v>414</v>
      </c>
      <c r="B8" s="5" t="s">
        <v>415</v>
      </c>
      <c r="C8" s="5" t="s">
        <v>416</v>
      </c>
      <c r="D8" s="5" t="s">
        <v>417</v>
      </c>
      <c r="E8" s="5" t="s">
        <v>395</v>
      </c>
      <c r="F8" s="5" t="s">
        <v>418</v>
      </c>
      <c r="G8" s="5" t="s">
        <v>419</v>
      </c>
      <c r="H8" s="5" t="s">
        <v>420</v>
      </c>
    </row>
    <row r="9" customFormat="false" ht="15" hidden="false" customHeight="false" outlineLevel="0" collapsed="false">
      <c r="A9" s="5" t="s">
        <v>421</v>
      </c>
      <c r="B9" s="5" t="s">
        <v>415</v>
      </c>
      <c r="C9" s="5" t="s">
        <v>416</v>
      </c>
      <c r="D9" s="5" t="s">
        <v>422</v>
      </c>
      <c r="E9" s="5" t="s">
        <v>395</v>
      </c>
      <c r="F9" s="5" t="s">
        <v>423</v>
      </c>
      <c r="G9" s="5" t="s">
        <v>424</v>
      </c>
      <c r="H9" s="5" t="s">
        <v>425</v>
      </c>
    </row>
    <row r="10" customFormat="false" ht="15" hidden="false" customHeight="false" outlineLevel="0" collapsed="false">
      <c r="A10" s="5" t="s">
        <v>426</v>
      </c>
      <c r="B10" s="5" t="s">
        <v>415</v>
      </c>
      <c r="C10" s="5" t="s">
        <v>416</v>
      </c>
      <c r="D10" s="5" t="s">
        <v>427</v>
      </c>
      <c r="E10" s="5" t="s">
        <v>395</v>
      </c>
      <c r="F10" s="5" t="s">
        <v>428</v>
      </c>
      <c r="G10" s="5" t="s">
        <v>424</v>
      </c>
      <c r="H10" s="5" t="s">
        <v>429</v>
      </c>
    </row>
    <row r="11" customFormat="false" ht="15" hidden="false" customHeight="false" outlineLevel="0" collapsed="false">
      <c r="A11" s="5" t="s">
        <v>164</v>
      </c>
      <c r="B11" s="5" t="s">
        <v>430</v>
      </c>
      <c r="C11" s="5" t="s">
        <v>431</v>
      </c>
      <c r="D11" s="5" t="s">
        <v>432</v>
      </c>
      <c r="E11" s="5" t="s">
        <v>395</v>
      </c>
      <c r="F11" s="5" t="s">
        <v>433</v>
      </c>
      <c r="G11" s="5" t="s">
        <v>100</v>
      </c>
      <c r="H11" s="5" t="s">
        <v>434</v>
      </c>
    </row>
    <row r="12" customFormat="false" ht="15" hidden="false" customHeight="false" outlineLevel="0" collapsed="false">
      <c r="A12" s="5" t="s">
        <v>159</v>
      </c>
      <c r="B12" s="5" t="s">
        <v>430</v>
      </c>
      <c r="C12" s="5" t="s">
        <v>409</v>
      </c>
      <c r="D12" s="5" t="s">
        <v>435</v>
      </c>
      <c r="E12" s="5" t="s">
        <v>395</v>
      </c>
      <c r="F12" s="5" t="s">
        <v>436</v>
      </c>
      <c r="G12" s="5" t="s">
        <v>63</v>
      </c>
      <c r="H12" s="5" t="s">
        <v>437</v>
      </c>
    </row>
    <row r="13" customFormat="false" ht="15" hidden="false" customHeight="false" outlineLevel="0" collapsed="false">
      <c r="A13" s="5" t="s">
        <v>148</v>
      </c>
      <c r="B13" s="5" t="s">
        <v>438</v>
      </c>
      <c r="C13" s="5" t="s">
        <v>409</v>
      </c>
      <c r="D13" s="5" t="s">
        <v>439</v>
      </c>
      <c r="E13" s="5" t="s">
        <v>395</v>
      </c>
      <c r="F13" s="5" t="s">
        <v>440</v>
      </c>
      <c r="G13" s="5" t="s">
        <v>70</v>
      </c>
      <c r="H13" s="5" t="s">
        <v>441</v>
      </c>
    </row>
    <row r="14" customFormat="false" ht="15" hidden="false" customHeight="false" outlineLevel="0" collapsed="false">
      <c r="A14" s="5" t="s">
        <v>111</v>
      </c>
      <c r="B14" s="5" t="s">
        <v>442</v>
      </c>
      <c r="C14" s="5" t="s">
        <v>409</v>
      </c>
      <c r="D14" s="5" t="s">
        <v>443</v>
      </c>
      <c r="E14" s="5" t="s">
        <v>395</v>
      </c>
      <c r="F14" s="5" t="s">
        <v>444</v>
      </c>
      <c r="G14" s="5" t="s">
        <v>445</v>
      </c>
      <c r="H14" s="5" t="s">
        <v>446</v>
      </c>
    </row>
    <row r="15" customFormat="false" ht="15" hidden="false" customHeight="false" outlineLevel="0" collapsed="false">
      <c r="A15" s="5" t="s">
        <v>88</v>
      </c>
      <c r="B15" s="5" t="s">
        <v>447</v>
      </c>
      <c r="C15" s="5" t="s">
        <v>398</v>
      </c>
      <c r="D15" s="5" t="s">
        <v>448</v>
      </c>
      <c r="E15" s="5" t="s">
        <v>395</v>
      </c>
      <c r="F15" s="5" t="s">
        <v>449</v>
      </c>
      <c r="G15" s="5" t="s">
        <v>445</v>
      </c>
      <c r="H15" s="5" t="s">
        <v>450</v>
      </c>
    </row>
    <row r="16" customFormat="false" ht="15" hidden="false" customHeight="false" outlineLevel="0" collapsed="false">
      <c r="A16" s="5" t="s">
        <v>193</v>
      </c>
      <c r="B16" s="5" t="s">
        <v>451</v>
      </c>
      <c r="C16" s="5" t="s">
        <v>409</v>
      </c>
      <c r="D16" s="5" t="s">
        <v>452</v>
      </c>
      <c r="E16" s="5" t="s">
        <v>395</v>
      </c>
      <c r="F16" s="5" t="s">
        <v>436</v>
      </c>
      <c r="G16" s="5" t="s">
        <v>83</v>
      </c>
      <c r="H16" s="5" t="s">
        <v>453</v>
      </c>
    </row>
    <row r="17" customFormat="false" ht="15" hidden="false" customHeight="false" outlineLevel="0" collapsed="false">
      <c r="A17" s="5" t="s">
        <v>75</v>
      </c>
      <c r="B17" s="5" t="s">
        <v>454</v>
      </c>
      <c r="C17" s="5" t="s">
        <v>409</v>
      </c>
      <c r="D17" s="5" t="s">
        <v>455</v>
      </c>
      <c r="E17" s="5" t="s">
        <v>395</v>
      </c>
      <c r="F17" s="5" t="s">
        <v>456</v>
      </c>
      <c r="G17" s="5" t="s">
        <v>76</v>
      </c>
      <c r="H17" s="5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2026-01-31T11:25:21Z</dcterms:created>
  <dc:creator>openpyxl</dc:creator>
  <dc:description/>
  <dc:language>en-US</dc:language>
  <cp:lastModifiedBy/>
  <dcterms:modified xsi:type="dcterms:W3CDTF">2026-01-31T11:25:21Z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